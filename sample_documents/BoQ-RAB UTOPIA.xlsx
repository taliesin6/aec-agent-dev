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ko 3lt" sheetId="1" r:id="rId4"/>
    <sheet state="visible" name="Ruko 2lt (8M)" sheetId="2" r:id="rId5"/>
    <sheet state="visible" name="Ruko 2lt (6M)" sheetId="3" r:id="rId6"/>
    <sheet state="visible" name="Ruko 3lt belakang (6M)" sheetId="4" r:id="rId7"/>
    <sheet state="visible" name="Ruko 2lt (L)" sheetId="5" r:id="rId8"/>
    <sheet state="visible" name="Clubhouse" sheetId="6" r:id="rId9"/>
    <sheet state="visible" name="Rumah Sudut" sheetId="7" r:id="rId10"/>
  </sheets>
  <definedNames/>
  <calcPr/>
</workbook>
</file>

<file path=xl/sharedStrings.xml><?xml version="1.0" encoding="utf-8"?>
<sst xmlns="http://schemas.openxmlformats.org/spreadsheetml/2006/main" count="2855" uniqueCount="383">
  <si>
    <t>No.</t>
  </si>
  <si>
    <t>Uraian Pekerjaan</t>
  </si>
  <si>
    <t>Spesifikasi Ringkas</t>
  </si>
  <si>
    <t>Sat</t>
  </si>
  <si>
    <t xml:space="preserve">Volume </t>
  </si>
  <si>
    <t>Harga Sat</t>
  </si>
  <si>
    <t>Total Harga</t>
  </si>
  <si>
    <t>Sub-Total</t>
  </si>
  <si>
    <t>PEKERJAAN PERSIAPAN</t>
  </si>
  <si>
    <t>Pekerjaan Bowplank</t>
  </si>
  <si>
    <t>Kayu Kaso dan Papan Cor</t>
  </si>
  <si>
    <t>m'</t>
  </si>
  <si>
    <t>Pembangunan  Gudang Kerja</t>
  </si>
  <si>
    <t>m2</t>
  </si>
  <si>
    <t>Direksi Keet</t>
  </si>
  <si>
    <t>Listrik Kerja dan Air Kerja</t>
  </si>
  <si>
    <t>bln</t>
  </si>
  <si>
    <t>Material Bantu dan Alat Bantu</t>
  </si>
  <si>
    <t>Schafolding</t>
  </si>
  <si>
    <t>Kebersihan Akhir</t>
  </si>
  <si>
    <t>Sampai BAST-1</t>
  </si>
  <si>
    <t>ls</t>
  </si>
  <si>
    <t>Mob Demob Alat</t>
  </si>
  <si>
    <t>Mesin Pancang 1 Unit</t>
  </si>
  <si>
    <t>unit</t>
  </si>
  <si>
    <t>PEKERJAAN STRUKTUR</t>
  </si>
  <si>
    <t>Pekerjaan Tiang Pancang</t>
  </si>
  <si>
    <t>Pemancangan Mini Pile</t>
  </si>
  <si>
    <t>Square Pile 300x300</t>
  </si>
  <si>
    <t xml:space="preserve">Ex: Panton Pile </t>
  </si>
  <si>
    <t xml:space="preserve">Metode Jack In Pile </t>
  </si>
  <si>
    <t>Potong Kepala Pancang</t>
  </si>
  <si>
    <t>titik</t>
  </si>
  <si>
    <t>Pekerjaan Struktur Bawah</t>
  </si>
  <si>
    <t>Pile Cap</t>
  </si>
  <si>
    <t>Galian Tanah Manual</t>
  </si>
  <si>
    <t>m3</t>
  </si>
  <si>
    <t>Pemadatan Tanah Dasar</t>
  </si>
  <si>
    <t>Menggunakan Stamper</t>
  </si>
  <si>
    <t>Pasir Urug</t>
  </si>
  <si>
    <t xml:space="preserve">T = 10cm </t>
  </si>
  <si>
    <t>Lantai Kerja</t>
  </si>
  <si>
    <t>T = 5 cm, Site Mix K-125</t>
  </si>
  <si>
    <t>Bekisting</t>
  </si>
  <si>
    <t>Bekisting Batako</t>
  </si>
  <si>
    <t>Besi</t>
  </si>
  <si>
    <t>Standard SNI - 4 besar</t>
  </si>
  <si>
    <t>kg</t>
  </si>
  <si>
    <t>Beton</t>
  </si>
  <si>
    <t>K-300 Ex Holcim - SCG Setara</t>
  </si>
  <si>
    <t>Sloof</t>
  </si>
  <si>
    <t xml:space="preserve">Besi </t>
  </si>
  <si>
    <t xml:space="preserve">Beton </t>
  </si>
  <si>
    <t>Pelat Lantai Dasar</t>
  </si>
  <si>
    <t>Wiremesh M8-1 50</t>
  </si>
  <si>
    <t>Pekerjaan Struktur Atas</t>
  </si>
  <si>
    <t>Kolom Lt. Dasar</t>
  </si>
  <si>
    <t xml:space="preserve">Bekisting Multiplek </t>
  </si>
  <si>
    <t>Standard SNI - 4 Besar</t>
  </si>
  <si>
    <t>K-300 Ex : Holcim - SCG Setara</t>
  </si>
  <si>
    <t>Balok Lt.2</t>
  </si>
  <si>
    <t xml:space="preserve">Beksiting Multiplek </t>
  </si>
  <si>
    <t>K- 300 Ex : Holcim - SCG Setara</t>
  </si>
  <si>
    <t xml:space="preserve">Pelat Lt.2 </t>
  </si>
  <si>
    <t>Bekisting Konvensional</t>
  </si>
  <si>
    <t>Beksiting Floor Deck</t>
  </si>
  <si>
    <t xml:space="preserve">Ex : CBM CD 930 tct 0.7 mm </t>
  </si>
  <si>
    <t>Wiremesh M8-150</t>
  </si>
  <si>
    <t>Kolom Lt. 2</t>
  </si>
  <si>
    <t>K-300 Ex: Holcim - SCG Setara</t>
  </si>
  <si>
    <t>Balok Lt. 3</t>
  </si>
  <si>
    <t>Pelat Lt. 3</t>
  </si>
  <si>
    <t xml:space="preserve">Bekisting Konvensional </t>
  </si>
  <si>
    <t>Bekisting Floor Deck</t>
  </si>
  <si>
    <t>Ex : CBM CD 930 tct 0.7mm</t>
  </si>
  <si>
    <t xml:space="preserve">Kolom Lt.3 </t>
  </si>
  <si>
    <t>Balok Lt. Dak</t>
  </si>
  <si>
    <t>Beksiting</t>
  </si>
  <si>
    <t>Pelat Lt. Dak</t>
  </si>
  <si>
    <t>berkurang 1/3</t>
  </si>
  <si>
    <t>ditambahin zincalume 2/3 atap</t>
  </si>
  <si>
    <t>Struktur Area Penutup Atap</t>
  </si>
  <si>
    <t>Ukuran 2.55 x 2.45</t>
  </si>
  <si>
    <t xml:space="preserve">unit </t>
  </si>
  <si>
    <t>dak tangga?</t>
  </si>
  <si>
    <t>Struktur Tangga</t>
  </si>
  <si>
    <t xml:space="preserve">Bekisting </t>
  </si>
  <si>
    <t>berkurang 2/3</t>
  </si>
  <si>
    <t>K-300 Ex : holcim - SCG Setara</t>
  </si>
  <si>
    <t>C</t>
  </si>
  <si>
    <t>PEKERJAAN FINISHING</t>
  </si>
  <si>
    <t>Finishing Dinding</t>
  </si>
  <si>
    <t>berkurang jadi 2/3</t>
  </si>
  <si>
    <t>tidak ada material conwood</t>
  </si>
  <si>
    <t xml:space="preserve">ga pake </t>
  </si>
  <si>
    <t>Pasangan Dinding Bata Ringan</t>
  </si>
  <si>
    <t>Pasangan Bata Ringan t = 7.5</t>
  </si>
  <si>
    <t xml:space="preserve">tidak ada material phomi </t>
  </si>
  <si>
    <t>pake</t>
  </si>
  <si>
    <t>Plesteran</t>
  </si>
  <si>
    <t>Semen Instan</t>
  </si>
  <si>
    <t>tidak ada material glassblock</t>
  </si>
  <si>
    <t>Acian</t>
  </si>
  <si>
    <t>Cat Dinding Interior</t>
  </si>
  <si>
    <t>Cat Dinding Exterior</t>
  </si>
  <si>
    <t>Keramik Dinding Kamar Mandi</t>
  </si>
  <si>
    <t>Expose Kolom dan Balok</t>
  </si>
  <si>
    <t xml:space="preserve">Finishing Lantai </t>
  </si>
  <si>
    <t xml:space="preserve">Screed Lantai </t>
  </si>
  <si>
    <t>Keramik Utama 60x60</t>
  </si>
  <si>
    <t>Code F2 PC Rate 130.000/m2</t>
  </si>
  <si>
    <t>Keramik Lantai Kamar Mandi</t>
  </si>
  <si>
    <t>Andesit Bakar</t>
  </si>
  <si>
    <t>Code F1</t>
  </si>
  <si>
    <t>Waterproofing Kamar Mandi dan Dak Atap</t>
  </si>
  <si>
    <t>Ex: SikaTop 107</t>
  </si>
  <si>
    <t>Parket Flooring</t>
  </si>
  <si>
    <t>Area Outdoor Lantai 2</t>
  </si>
  <si>
    <t>Finishing Tangga</t>
  </si>
  <si>
    <t xml:space="preserve">Keramik Tangga 60 x 60 </t>
  </si>
  <si>
    <t>Tanpa Step Nozing</t>
  </si>
  <si>
    <t>Railing Tangga</t>
  </si>
  <si>
    <t>Pekerjaan Plafond</t>
  </si>
  <si>
    <t>Gypsum Board</t>
  </si>
  <si>
    <t>Code C2</t>
  </si>
  <si>
    <t>Gypsum Board for Wet Area</t>
  </si>
  <si>
    <t>Code C1</t>
  </si>
  <si>
    <t>Pekerjaan Expose Tangga + Balkon</t>
  </si>
  <si>
    <t>Code C4</t>
  </si>
  <si>
    <t>Shadowline</t>
  </si>
  <si>
    <t>Kasliboard</t>
  </si>
  <si>
    <t>Code C3</t>
  </si>
  <si>
    <t>Pekerjaan Cat Plafond</t>
  </si>
  <si>
    <t>Pekerjaan Kusen Alumunium, Jendela, dan Kaca</t>
  </si>
  <si>
    <t>PJ - 1</t>
  </si>
  <si>
    <t>Alumunium Powder Coating 3"</t>
  </si>
  <si>
    <t xml:space="preserve">Ex : Handal </t>
  </si>
  <si>
    <t>Daun Kaca Frameless 8mm</t>
  </si>
  <si>
    <t>Kaca Mati 8mm</t>
  </si>
  <si>
    <t>Aksesoris Pintu Ex : Dekkson</t>
  </si>
  <si>
    <t>Folding Gate Depan</t>
  </si>
  <si>
    <t xml:space="preserve">Ukuran 2.4 x 8 </t>
  </si>
  <si>
    <t xml:space="preserve">Alumunium Tebal </t>
  </si>
  <si>
    <t>PJ-2</t>
  </si>
  <si>
    <t>Ex: Handal</t>
  </si>
  <si>
    <t>Pintu Alumunium</t>
  </si>
  <si>
    <t>Kaca Mati 6mm</t>
  </si>
  <si>
    <t xml:space="preserve">Aksesoris Pintu Ex. Dekkson </t>
  </si>
  <si>
    <t>J-1</t>
  </si>
  <si>
    <t xml:space="preserve">Ex: Handal </t>
  </si>
  <si>
    <t>J-2</t>
  </si>
  <si>
    <t>J-3</t>
  </si>
  <si>
    <t xml:space="preserve">Pekerjaan Pintu </t>
  </si>
  <si>
    <t>PK 1</t>
  </si>
  <si>
    <t>Sesuai Detail Hpl Ex : Taco Aksesoris Ex: Dekson</t>
  </si>
  <si>
    <t>PK 2</t>
  </si>
  <si>
    <t xml:space="preserve">Sesuai Detail </t>
  </si>
  <si>
    <t>PK 3</t>
  </si>
  <si>
    <t>PEKERJAAN PLUMBING</t>
  </si>
  <si>
    <t>Pekerjaan Instalasi</t>
  </si>
  <si>
    <t>Instalasi Air Bersih</t>
  </si>
  <si>
    <t>Pipa 1" Class AW Ex: Wavin</t>
  </si>
  <si>
    <t>Instalasi Air Kotor</t>
  </si>
  <si>
    <t>Pipa 4" Class AW Ex: Wavin</t>
  </si>
  <si>
    <t>Instalasi Venting</t>
  </si>
  <si>
    <t>Pipa 1.25" Class AW Ex: Wavin</t>
  </si>
  <si>
    <t>Instalasi Air Bekas</t>
  </si>
  <si>
    <t>Pipa 2" Class AW Ex: Wavin</t>
  </si>
  <si>
    <t>Instalasi Air Hujan</t>
  </si>
  <si>
    <t>Support dan Fitting</t>
  </si>
  <si>
    <t>Valve dan Watermur, dsb</t>
  </si>
  <si>
    <t>CCO</t>
  </si>
  <si>
    <t>Lokal Stainless</t>
  </si>
  <si>
    <t>FCO</t>
  </si>
  <si>
    <t>Roof Drain</t>
  </si>
  <si>
    <t>Lokal 4"</t>
  </si>
  <si>
    <t>Sanitary</t>
  </si>
  <si>
    <t>Closet Duduk</t>
  </si>
  <si>
    <t>Ex : Toto CW 421</t>
  </si>
  <si>
    <t>jadi 2 unit</t>
  </si>
  <si>
    <t>Jet Washer</t>
  </si>
  <si>
    <t>Ex : Toto THX Series</t>
  </si>
  <si>
    <t>Washtafel</t>
  </si>
  <si>
    <t>Ex : Toto LW 246 cj</t>
  </si>
  <si>
    <t>Floor Drain</t>
  </si>
  <si>
    <t>Ex : Toto TX 1BN</t>
  </si>
  <si>
    <t>Kran Air</t>
  </si>
  <si>
    <t>Ex : Toto T23BV</t>
  </si>
  <si>
    <t>Fasilitas Pendukung</t>
  </si>
  <si>
    <t>Groundtank</t>
  </si>
  <si>
    <t>Cap 1 m3</t>
  </si>
  <si>
    <t>WaterTorrent</t>
  </si>
  <si>
    <t>Cap 1000 ltr Ex : Penguin TB 110</t>
  </si>
  <si>
    <t>SeptikTank</t>
  </si>
  <si>
    <t>Biofil Cap 1 m3</t>
  </si>
  <si>
    <t>PEKERJAAN ELEKTRIKAL</t>
  </si>
  <si>
    <t>Instalasi Lampu</t>
  </si>
  <si>
    <t>NYM 2 x 1.5 Ex : Eterna</t>
  </si>
  <si>
    <t>jadi 2/3</t>
  </si>
  <si>
    <t>Instalasi Stop Kontak</t>
  </si>
  <si>
    <t>Instalasi Stop Kontak AC</t>
  </si>
  <si>
    <t>Pekerjaan Armatur</t>
  </si>
  <si>
    <t>Downlight</t>
  </si>
  <si>
    <t>Ex: Panasonic NLP Series</t>
  </si>
  <si>
    <t>Saklar Seri</t>
  </si>
  <si>
    <t>Ex: Panasonic Standard Series</t>
  </si>
  <si>
    <t>Saklar Tunggal</t>
  </si>
  <si>
    <t>Stop Kontak</t>
  </si>
  <si>
    <t>Stop Kontak AC</t>
  </si>
  <si>
    <t xml:space="preserve">Pekerjaan Panel </t>
  </si>
  <si>
    <t>MCB Box</t>
  </si>
  <si>
    <t>Ex : Hager 12 grup</t>
  </si>
  <si>
    <t>Ex : Hager 8 grup</t>
  </si>
  <si>
    <t>MCB Unit</t>
  </si>
  <si>
    <t>Breaker dan Isi</t>
  </si>
  <si>
    <t>pcs</t>
  </si>
  <si>
    <t>Kabel/Feeder/Toefor</t>
  </si>
  <si>
    <t>NYY 3x4</t>
  </si>
  <si>
    <t>TOTAL</t>
  </si>
  <si>
    <t>PPN 10%</t>
  </si>
  <si>
    <t>GRAND TOTAL</t>
  </si>
  <si>
    <t>PEMBULATAN</t>
  </si>
  <si>
    <t>Tiled Texture Exterior</t>
  </si>
  <si>
    <t>Ex : PHOMI</t>
  </si>
  <si>
    <t>komparasi dengan harga sebelumnya</t>
  </si>
  <si>
    <t>Glassblock Exterior</t>
  </si>
  <si>
    <t>Ex : Mulia</t>
  </si>
  <si>
    <t>perhitungan 12 total ruko</t>
  </si>
  <si>
    <t>perhitungan 4 ruko depan</t>
  </si>
  <si>
    <t>Satuan Luas Clubhouse</t>
  </si>
  <si>
    <t>Kolam Renang</t>
  </si>
  <si>
    <t>Harga Per m3</t>
  </si>
  <si>
    <t>Standard</t>
  </si>
  <si>
    <t xml:space="preserve">dinding outdoor </t>
  </si>
  <si>
    <t>mortar aci ex : Demix</t>
  </si>
  <si>
    <t xml:space="preserve">dinding fasad hitam </t>
  </si>
  <si>
    <t xml:space="preserve">glass block </t>
  </si>
  <si>
    <t>dinding alami toilet dan ruang ganti</t>
  </si>
  <si>
    <t xml:space="preserve">ex : PHOMI </t>
  </si>
  <si>
    <t>Deck Kolam Renang</t>
  </si>
  <si>
    <t>A</t>
  </si>
  <si>
    <t>Anti-Rayap</t>
  </si>
  <si>
    <t>Kompensasi Overhead Pembangunan Rumah Contoh</t>
  </si>
  <si>
    <t>B</t>
  </si>
  <si>
    <t>Square Pile 200 x 200</t>
  </si>
  <si>
    <t xml:space="preserve">Pemancangan Mini Pile </t>
  </si>
  <si>
    <t xml:space="preserve">Ex : Panton Pile </t>
  </si>
  <si>
    <t>Metode : Jack In Pile</t>
  </si>
  <si>
    <t>Square Pile 250 x 250</t>
  </si>
  <si>
    <t>Manual</t>
  </si>
  <si>
    <t>-</t>
  </si>
  <si>
    <t xml:space="preserve">Galian Tanah Manual </t>
  </si>
  <si>
    <t>Manual Dengan Stamper</t>
  </si>
  <si>
    <t>Pasir</t>
  </si>
  <si>
    <t>Site Mix K-125</t>
  </si>
  <si>
    <t>Batako</t>
  </si>
  <si>
    <t>Standard SNI - Toleransi Max 0.5mm</t>
  </si>
  <si>
    <t>K-250 Ready Mix Ex : Merak Beton - Setara</t>
  </si>
  <si>
    <t>Tie Beam / Sloof</t>
  </si>
  <si>
    <t>Standard SNI - Tolernasi Max 0.5mm</t>
  </si>
  <si>
    <t>Rollag Bata Merah</t>
  </si>
  <si>
    <t>Tinggi = 40cm, Lebar 30cm</t>
  </si>
  <si>
    <t>Triplek</t>
  </si>
  <si>
    <t>Wiremesh M6 - 150 : 1 Layer</t>
  </si>
  <si>
    <t>Carport</t>
  </si>
  <si>
    <t>Tangga</t>
  </si>
  <si>
    <t>Multiplek Std 9mm</t>
  </si>
  <si>
    <t>Wiremeseh M6 - 150 2 layer</t>
  </si>
  <si>
    <t>Balok Lt. 1</t>
  </si>
  <si>
    <t>Pelat Lt. 1</t>
  </si>
  <si>
    <t>Wiremesh M7-150 : 2 Layer</t>
  </si>
  <si>
    <t>Kolom Lt. 1</t>
  </si>
  <si>
    <t>Pekerjaan Finishing</t>
  </si>
  <si>
    <t>Dinding Bata Ringan tebal = 10cm Ex : Powerblock</t>
  </si>
  <si>
    <t>Ex : Powerblock - setara</t>
  </si>
  <si>
    <t>Cat Interior</t>
  </si>
  <si>
    <t>Ex : Mowilex Cendana</t>
  </si>
  <si>
    <t>Cat Exterior</t>
  </si>
  <si>
    <t>Ex : Mowilex WeatherCoat</t>
  </si>
  <si>
    <t>Ex : Sandimas 60 x 60 PC - setara PC Rate Rp. 120.000/m2</t>
  </si>
  <si>
    <t>Finishing Lantai</t>
  </si>
  <si>
    <t>Screed Lantai</t>
  </si>
  <si>
    <t xml:space="preserve">Keramik Lantai Utama 60 x 60 </t>
  </si>
  <si>
    <t>Ex : Sandimas 60 x 60 PC -  setara PC Rate Rp. 120.000/m2</t>
  </si>
  <si>
    <t>Skirting Keramik</t>
  </si>
  <si>
    <t>Ex : Sandimas 10 x 60 PC -  setara PC Rate Rp. 120.000/m2</t>
  </si>
  <si>
    <t xml:space="preserve">Keramik Lantai Teras / Balkon </t>
  </si>
  <si>
    <t>Waterproofing Kamar Mandi + Dak</t>
  </si>
  <si>
    <t>Ex : Sika Top 107</t>
  </si>
  <si>
    <t>Andesit Bakar Finishing Carport</t>
  </si>
  <si>
    <t>Deck Kayu</t>
  </si>
  <si>
    <t>Deck Flooring Kayu</t>
  </si>
  <si>
    <t xml:space="preserve">m2 </t>
  </si>
  <si>
    <t>Keramik Tangga</t>
  </si>
  <si>
    <t>Ex  : Sandimas 60 x 60 PC - setara</t>
  </si>
  <si>
    <t>Finishing Atap</t>
  </si>
  <si>
    <t>Rangka Atap Baja Ringan</t>
  </si>
  <si>
    <t>Ex : TAS CNP t.0.7mm</t>
  </si>
  <si>
    <t>Genteng Atap Zincalum</t>
  </si>
  <si>
    <t>Ex : Zincalume t 0.4mm</t>
  </si>
  <si>
    <t>Gypsum Board Area Utama</t>
  </si>
  <si>
    <t>Ex : Jayaboard 9mm</t>
  </si>
  <si>
    <t>Gypsum Board Area Kamar Mandi</t>
  </si>
  <si>
    <t>Ex : Jayaboard WR</t>
  </si>
  <si>
    <t>Expose Tangga dan Kantilever</t>
  </si>
  <si>
    <t>Drop dan Cove pada Kamar dan Tangga</t>
  </si>
  <si>
    <t>m</t>
  </si>
  <si>
    <t>Lisplank Atap</t>
  </si>
  <si>
    <t>Cat Plafond dan Expose</t>
  </si>
  <si>
    <t>Pekerjaan Kusen Alumunium dan Jendela Kaca</t>
  </si>
  <si>
    <t>J1 (900 x 2640)</t>
  </si>
  <si>
    <t>Ex : Dacon 3" = setara Finish Powder Coating</t>
  </si>
  <si>
    <t>Kaca Polos 8mm</t>
  </si>
  <si>
    <t>Swing Window</t>
  </si>
  <si>
    <t>J2 (450 x 450)</t>
  </si>
  <si>
    <t>Frame Besi</t>
  </si>
  <si>
    <t>J3 (2175 x 2640)</t>
  </si>
  <si>
    <t xml:space="preserve">J4 (750 x 2640) </t>
  </si>
  <si>
    <t>J5 (900 x 2640)</t>
  </si>
  <si>
    <t>J6 (900 x 2640)</t>
  </si>
  <si>
    <t>J7 (450 x 2600)</t>
  </si>
  <si>
    <t>J8 (1100 x 850)</t>
  </si>
  <si>
    <t>Kaca Frameless</t>
  </si>
  <si>
    <t>Pekerjaan Kusen Kayu dan Pintu Kayu</t>
  </si>
  <si>
    <t>P1</t>
  </si>
  <si>
    <t>Pintu Kayu Solid Nyatoh</t>
  </si>
  <si>
    <t>Sistem Pivot</t>
  </si>
  <si>
    <t>Aksesoris Dekson</t>
  </si>
  <si>
    <t>Kusen Kayu</t>
  </si>
  <si>
    <t>P2</t>
  </si>
  <si>
    <t>D</t>
  </si>
  <si>
    <t>Pekerjaan Plumbing</t>
  </si>
  <si>
    <t xml:space="preserve">Pipa 1" Class AW Ex : Wavin </t>
  </si>
  <si>
    <t xml:space="preserve">Instalasi Air Bersih </t>
  </si>
  <si>
    <t>Pipa PPR</t>
  </si>
  <si>
    <t>Pipa 2" Class AW Ex : Wavin</t>
  </si>
  <si>
    <t>Pipa 4" Class D Ex : Wavin</t>
  </si>
  <si>
    <t>Ex : Lokal</t>
  </si>
  <si>
    <t xml:space="preserve">FCO </t>
  </si>
  <si>
    <t>Ex : Karisma - lokal setara</t>
  </si>
  <si>
    <t>Pekerjaan Sanitary</t>
  </si>
  <si>
    <t>Ex : American Standard Newton Series</t>
  </si>
  <si>
    <t>Ex : American Standard</t>
  </si>
  <si>
    <t>Shower Lt. 1</t>
  </si>
  <si>
    <t>Shower Lt. 2</t>
  </si>
  <si>
    <t>Ex : American Standard Mixing Panas Dingin</t>
  </si>
  <si>
    <t xml:space="preserve">Floor Drain </t>
  </si>
  <si>
    <t>Kran</t>
  </si>
  <si>
    <t xml:space="preserve">Kitchen Sink </t>
  </si>
  <si>
    <t>Ex : Royal SB 42</t>
  </si>
  <si>
    <t>Kran kitchen Sink</t>
  </si>
  <si>
    <t>Ex : Onda / Lokal</t>
  </si>
  <si>
    <t>Kapasitas 1 m3</t>
  </si>
  <si>
    <t>SepticTank</t>
  </si>
  <si>
    <t xml:space="preserve">Biofil Kapasitas 1.2 m3 + </t>
  </si>
  <si>
    <t>Ex : Penguin TB 110</t>
  </si>
  <si>
    <t>E</t>
  </si>
  <si>
    <t>Pekerjaan Elektrikal</t>
  </si>
  <si>
    <t>NYM 2  x 1.5 Ex : Eterna</t>
  </si>
  <si>
    <t>NYM 3  x 2.5 Ex : Eterna</t>
  </si>
  <si>
    <t>Instalasi Stop Kontak AC + WH</t>
  </si>
  <si>
    <t>Instalasi Exhaust Fan</t>
  </si>
  <si>
    <t>Instalasi Televisi</t>
  </si>
  <si>
    <t>Ex : Belden</t>
  </si>
  <si>
    <t>Instalasi Data</t>
  </si>
  <si>
    <t>Lampu Downlight</t>
  </si>
  <si>
    <t>Ex :  Panasonic NLP Series</t>
  </si>
  <si>
    <t>Lampu Spotlight</t>
  </si>
  <si>
    <t>Ex : Panasonic Standard Series</t>
  </si>
  <si>
    <t xml:space="preserve">Saklar Tunggal </t>
  </si>
  <si>
    <t>Saklar Hotel</t>
  </si>
  <si>
    <t>Stop Kontak AC + WH</t>
  </si>
  <si>
    <t>Armatur Data</t>
  </si>
  <si>
    <t>Armatur Televisi</t>
  </si>
  <si>
    <t>Exhaust Fan</t>
  </si>
  <si>
    <t>Pekerjaan PAnel</t>
  </si>
  <si>
    <t>MCB Box Lantai 1</t>
  </si>
  <si>
    <t>Ex :  Hager 12 grup</t>
  </si>
  <si>
    <t>set</t>
  </si>
  <si>
    <t>MCB Box Lantai 2</t>
  </si>
  <si>
    <t>Kabel Feeder dan Toefor</t>
  </si>
  <si>
    <t>NYY 3 x 4</t>
  </si>
  <si>
    <t xml:space="preserve">TOTAL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</si>
</sst>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p]#,##0"/>
    <numFmt numFmtId="165" formatCode="m/d"/>
  </numFmts>
  <fonts count="5">
    <font>
      <sz val="10.0"/>
      <color rgb="FF000000"/>
      <name val="Arial"/>
    </font>
    <font>
      <color theme="1"/>
      <name val="Arial"/>
    </font>
    <font/>
    <font>
      <b/>
    </font>
    <font>
      <b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9900"/>
        <bgColor rgb="FFFF9900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Font="1" applyNumberFormat="1"/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4" xfId="0" applyFont="1" applyNumberFormat="1"/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4" xfId="0" applyAlignment="1" applyFont="1" applyNumberFormat="1">
      <alignment readingOrder="0"/>
    </xf>
    <xf borderId="0" fillId="2" fontId="1" numFmtId="164" xfId="0" applyAlignment="1" applyFont="1" applyNumberFormat="1">
      <alignment readingOrder="0"/>
    </xf>
    <xf borderId="0" fillId="2" fontId="1" numFmtId="164" xfId="0" applyFont="1" applyNumberFormat="1"/>
    <xf borderId="0" fillId="3" fontId="1" numFmtId="0" xfId="0" applyFill="1" applyFont="1"/>
    <xf borderId="0" fillId="3" fontId="1" numFmtId="0" xfId="0" applyAlignment="1" applyFont="1">
      <alignment readingOrder="0"/>
    </xf>
    <xf borderId="0" fillId="3" fontId="1" numFmtId="4" xfId="0" applyAlignment="1" applyFont="1" applyNumberFormat="1">
      <alignment readingOrder="0"/>
    </xf>
    <xf borderId="0" fillId="3" fontId="1" numFmtId="164" xfId="0" applyAlignment="1" applyFont="1" applyNumberFormat="1">
      <alignment readingOrder="0"/>
    </xf>
    <xf borderId="0" fillId="3" fontId="1" numFmtId="164" xfId="0" applyFont="1" applyNumberFormat="1"/>
    <xf borderId="0" fillId="4" fontId="1" numFmtId="0" xfId="0" applyFill="1" applyFont="1"/>
    <xf borderId="0" fillId="4" fontId="1" numFmtId="0" xfId="0" applyAlignment="1" applyFont="1">
      <alignment readingOrder="0"/>
    </xf>
    <xf borderId="0" fillId="4" fontId="1" numFmtId="4" xfId="0" applyAlignment="1" applyFont="1" applyNumberFormat="1">
      <alignment readingOrder="0"/>
    </xf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4" fontId="1" numFmtId="165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1" numFmtId="10" xfId="0" applyFont="1" applyNumberFormat="1"/>
    <xf borderId="0" fillId="0" fontId="1" numFmtId="0" xfId="0" applyFont="1"/>
    <xf borderId="0" fillId="0" fontId="2" numFmtId="164" xfId="0" applyFont="1" applyNumberFormat="1"/>
    <xf borderId="0" fillId="0" fontId="2" numFmtId="164" xfId="0" applyAlignment="1" applyFont="1" applyNumberFormat="1">
      <alignment readingOrder="0"/>
    </xf>
    <xf borderId="0" fillId="0" fontId="2" numFmtId="10" xfId="0" applyFont="1" applyNumberFormat="1"/>
    <xf borderId="1" fillId="5" fontId="2" numFmtId="0" xfId="0" applyAlignment="1" applyBorder="1" applyFill="1" applyFont="1">
      <alignment readingOrder="0"/>
    </xf>
    <xf borderId="1" fillId="6" fontId="3" numFmtId="0" xfId="0" applyAlignment="1" applyBorder="1" applyFill="1" applyFont="1">
      <alignment readingOrder="0"/>
    </xf>
    <xf borderId="1" fillId="6" fontId="2" numFmtId="0" xfId="0" applyBorder="1" applyFont="1"/>
    <xf borderId="1" fillId="6" fontId="1" numFmtId="164" xfId="0" applyBorder="1" applyFont="1" applyNumberFormat="1"/>
    <xf borderId="1" fillId="0" fontId="1" numFmtId="0" xfId="0" applyBorder="1" applyFont="1"/>
    <xf borderId="1" fillId="0" fontId="2" numFmtId="0" xfId="0" applyAlignment="1" applyBorder="1" applyFont="1">
      <alignment readingOrder="0"/>
    </xf>
    <xf borderId="1" fillId="0" fontId="2" numFmtId="4" xfId="0" applyAlignment="1" applyBorder="1" applyFont="1" applyNumberFormat="1">
      <alignment readingOrder="0"/>
    </xf>
    <xf borderId="1" fillId="0" fontId="2" numFmtId="164" xfId="0" applyAlignment="1" applyBorder="1" applyFont="1" applyNumberFormat="1">
      <alignment readingOrder="0"/>
    </xf>
    <xf borderId="1" fillId="0" fontId="1" numFmtId="164" xfId="0" applyBorder="1" applyFont="1" applyNumberFormat="1"/>
    <xf borderId="1" fillId="0" fontId="2" numFmtId="4" xfId="0" applyBorder="1" applyFont="1" applyNumberFormat="1"/>
    <xf borderId="1" fillId="0" fontId="2" numFmtId="164" xfId="0" applyBorder="1" applyFont="1" applyNumberFormat="1"/>
    <xf borderId="1" fillId="6" fontId="2" numFmtId="164" xfId="0" applyAlignment="1" applyBorder="1" applyFont="1" applyNumberFormat="1">
      <alignment readingOrder="0"/>
    </xf>
    <xf borderId="1" fillId="6" fontId="2" numFmtId="4" xfId="0" applyAlignment="1" applyBorder="1" applyFont="1" applyNumberFormat="1">
      <alignment readingOrder="0"/>
    </xf>
    <xf borderId="1" fillId="0" fontId="3" numFmtId="0" xfId="0" applyAlignment="1" applyBorder="1" applyFont="1">
      <alignment readingOrder="0"/>
    </xf>
    <xf borderId="2" fillId="6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1" fillId="7" fontId="1" numFmtId="0" xfId="0" applyAlignment="1" applyBorder="1" applyFill="1" applyFont="1">
      <alignment readingOrder="0"/>
    </xf>
    <xf borderId="1" fillId="6" fontId="4" numFmtId="0" xfId="0" applyAlignment="1" applyBorder="1" applyFont="1">
      <alignment readingOrder="0"/>
    </xf>
    <xf borderId="1" fillId="6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Border="1" applyFont="1" applyNumberFormat="1"/>
    <xf borderId="1" fillId="6" fontId="1" numFmtId="4" xfId="0" applyAlignment="1" applyBorder="1" applyFont="1" applyNumberFormat="1">
      <alignment readingOrder="0"/>
    </xf>
    <xf borderId="1" fillId="6" fontId="1" numFmtId="164" xfId="0" applyAlignment="1" applyBorder="1" applyFont="1" applyNumberFormat="1">
      <alignment readingOrder="0"/>
    </xf>
    <xf borderId="2" fillId="6" fontId="4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6.0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26.43"/>
    <col customWidth="1" min="10" max="10" width="25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H2" s="2">
        <f>sum(G3:G9)</f>
        <v>21230600</v>
      </c>
    </row>
    <row r="3">
      <c r="B3" s="1" t="s">
        <v>9</v>
      </c>
      <c r="C3" s="1" t="s">
        <v>10</v>
      </c>
      <c r="D3" s="1" t="s">
        <v>11</v>
      </c>
      <c r="E3" s="3">
        <v>40.0</v>
      </c>
      <c r="F3" s="4">
        <v>17400.0</v>
      </c>
      <c r="G3" s="2">
        <f t="shared" ref="G3:G9" si="1">F3*E3</f>
        <v>696000</v>
      </c>
    </row>
    <row r="4">
      <c r="B4" s="1" t="s">
        <v>12</v>
      </c>
      <c r="D4" s="1" t="s">
        <v>13</v>
      </c>
      <c r="E4" s="3">
        <v>30.0</v>
      </c>
      <c r="F4" s="4">
        <v>150700.0</v>
      </c>
      <c r="G4" s="2">
        <f t="shared" si="1"/>
        <v>4521000</v>
      </c>
    </row>
    <row r="5">
      <c r="B5" s="1" t="s">
        <v>14</v>
      </c>
      <c r="D5" s="1" t="s">
        <v>13</v>
      </c>
      <c r="E5" s="3">
        <v>30.0</v>
      </c>
      <c r="F5" s="4">
        <v>150700.0</v>
      </c>
      <c r="G5" s="2">
        <f t="shared" si="1"/>
        <v>4521000</v>
      </c>
    </row>
    <row r="6">
      <c r="B6" s="1" t="s">
        <v>15</v>
      </c>
      <c r="D6" s="1" t="s">
        <v>16</v>
      </c>
      <c r="E6" s="3">
        <v>6.0</v>
      </c>
      <c r="F6" s="4">
        <v>340900.0</v>
      </c>
      <c r="G6" s="2">
        <f t="shared" si="1"/>
        <v>2045400</v>
      </c>
    </row>
    <row r="7">
      <c r="B7" s="1" t="s">
        <v>17</v>
      </c>
      <c r="C7" s="1" t="s">
        <v>18</v>
      </c>
      <c r="D7" s="1" t="s">
        <v>16</v>
      </c>
      <c r="E7" s="3">
        <v>6.0</v>
      </c>
      <c r="F7" s="4">
        <v>712800.0</v>
      </c>
      <c r="G7" s="2">
        <f t="shared" si="1"/>
        <v>4276800</v>
      </c>
    </row>
    <row r="8">
      <c r="B8" s="1" t="s">
        <v>19</v>
      </c>
      <c r="C8" s="1" t="s">
        <v>20</v>
      </c>
      <c r="D8" s="1" t="s">
        <v>21</v>
      </c>
      <c r="E8" s="3">
        <v>96.0</v>
      </c>
      <c r="F8" s="4">
        <v>11600.0</v>
      </c>
      <c r="G8" s="2">
        <f t="shared" si="1"/>
        <v>1113600</v>
      </c>
    </row>
    <row r="9">
      <c r="B9" s="1" t="s">
        <v>22</v>
      </c>
      <c r="C9" s="1" t="s">
        <v>23</v>
      </c>
      <c r="D9" s="1" t="s">
        <v>24</v>
      </c>
      <c r="E9" s="3">
        <v>1.0</v>
      </c>
      <c r="F9" s="4">
        <v>4056800.0</v>
      </c>
      <c r="G9" s="2">
        <f t="shared" si="1"/>
        <v>4056800</v>
      </c>
    </row>
    <row r="11">
      <c r="A11" s="1">
        <v>2.0</v>
      </c>
      <c r="B11" s="1" t="s">
        <v>25</v>
      </c>
      <c r="H11" s="2">
        <f>sum(G12:G44)</f>
        <v>153450494</v>
      </c>
    </row>
    <row r="12">
      <c r="B12" s="1" t="s">
        <v>26</v>
      </c>
    </row>
    <row r="13">
      <c r="B13" s="1" t="s">
        <v>27</v>
      </c>
      <c r="C13" s="1" t="s">
        <v>28</v>
      </c>
      <c r="D13" s="1" t="s">
        <v>11</v>
      </c>
      <c r="E13" s="3">
        <v>156.0</v>
      </c>
      <c r="F13" s="4">
        <v>396000.0</v>
      </c>
      <c r="G13" s="2">
        <f>F13*E13</f>
        <v>61776000</v>
      </c>
    </row>
    <row r="14">
      <c r="C14" s="1" t="s">
        <v>29</v>
      </c>
      <c r="E14" s="5"/>
      <c r="F14" s="2"/>
    </row>
    <row r="15">
      <c r="C15" s="1" t="s">
        <v>30</v>
      </c>
      <c r="E15" s="5"/>
      <c r="F15" s="2"/>
    </row>
    <row r="16">
      <c r="B16" s="1" t="s">
        <v>31</v>
      </c>
      <c r="D16" s="1" t="s">
        <v>32</v>
      </c>
      <c r="E16" s="3">
        <v>13.0</v>
      </c>
      <c r="F16" s="4">
        <v>60000.0</v>
      </c>
      <c r="G16" s="2">
        <f>F16*E16</f>
        <v>780000</v>
      </c>
    </row>
    <row r="18">
      <c r="B18" s="1" t="s">
        <v>33</v>
      </c>
    </row>
    <row r="19">
      <c r="B19" s="1" t="s">
        <v>34</v>
      </c>
    </row>
    <row r="20">
      <c r="B20" s="1" t="s">
        <v>35</v>
      </c>
      <c r="D20" s="1" t="s">
        <v>36</v>
      </c>
      <c r="E20" s="3">
        <v>13.6</v>
      </c>
      <c r="F20" s="4">
        <v>93800.0</v>
      </c>
      <c r="G20" s="2">
        <f t="shared" ref="G20:G26" si="2">F20*E20</f>
        <v>1275680</v>
      </c>
    </row>
    <row r="21">
      <c r="B21" s="1" t="s">
        <v>37</v>
      </c>
      <c r="C21" s="1" t="s">
        <v>38</v>
      </c>
      <c r="D21" s="1" t="s">
        <v>13</v>
      </c>
      <c r="E21" s="3">
        <v>8.01</v>
      </c>
      <c r="F21" s="4">
        <v>30000.0</v>
      </c>
      <c r="G21" s="2">
        <f t="shared" si="2"/>
        <v>240300</v>
      </c>
    </row>
    <row r="22">
      <c r="B22" s="1" t="s">
        <v>39</v>
      </c>
      <c r="C22" s="1" t="s">
        <v>40</v>
      </c>
      <c r="D22" s="1" t="s">
        <v>36</v>
      </c>
      <c r="E22" s="3">
        <v>0.8</v>
      </c>
      <c r="F22" s="4">
        <v>549600.0</v>
      </c>
      <c r="G22" s="2">
        <f t="shared" si="2"/>
        <v>439680</v>
      </c>
    </row>
    <row r="23">
      <c r="B23" s="1" t="s">
        <v>41</v>
      </c>
      <c r="C23" s="1" t="s">
        <v>42</v>
      </c>
      <c r="D23" s="1" t="s">
        <v>36</v>
      </c>
      <c r="E23" s="3">
        <v>0.4</v>
      </c>
      <c r="F23" s="4">
        <v>751500.0</v>
      </c>
      <c r="G23" s="2">
        <f t="shared" si="2"/>
        <v>300600</v>
      </c>
    </row>
    <row r="24">
      <c r="B24" s="1" t="s">
        <v>43</v>
      </c>
      <c r="C24" s="1" t="s">
        <v>44</v>
      </c>
      <c r="D24" s="1" t="s">
        <v>13</v>
      </c>
      <c r="E24" s="3">
        <v>18.53</v>
      </c>
      <c r="F24" s="4">
        <v>114600.0</v>
      </c>
      <c r="G24" s="2">
        <f t="shared" si="2"/>
        <v>2123538</v>
      </c>
    </row>
    <row r="25">
      <c r="B25" s="1" t="s">
        <v>45</v>
      </c>
      <c r="C25" s="1" t="s">
        <v>46</v>
      </c>
      <c r="D25" s="1" t="s">
        <v>47</v>
      </c>
      <c r="E25" s="3">
        <v>1207.74</v>
      </c>
      <c r="F25" s="4">
        <v>13000.0</v>
      </c>
      <c r="G25" s="2">
        <f t="shared" si="2"/>
        <v>15700620</v>
      </c>
    </row>
    <row r="26">
      <c r="B26" s="1" t="s">
        <v>48</v>
      </c>
      <c r="C26" s="1" t="s">
        <v>49</v>
      </c>
      <c r="D26" s="1" t="s">
        <v>36</v>
      </c>
      <c r="E26" s="3">
        <v>6.28</v>
      </c>
      <c r="F26" s="4">
        <v>1238700.0</v>
      </c>
      <c r="G26" s="2">
        <f t="shared" si="2"/>
        <v>7779036</v>
      </c>
    </row>
    <row r="28">
      <c r="B28" s="1" t="s">
        <v>50</v>
      </c>
      <c r="D28" s="1" t="s">
        <v>36</v>
      </c>
      <c r="E28" s="3">
        <v>6.48</v>
      </c>
      <c r="F28" s="4">
        <v>96000.0</v>
      </c>
      <c r="G28" s="2">
        <f t="shared" ref="G28:G34" si="3">F28*E28</f>
        <v>622080</v>
      </c>
    </row>
    <row r="29">
      <c r="B29" s="1" t="s">
        <v>35</v>
      </c>
      <c r="C29" s="1" t="s">
        <v>38</v>
      </c>
      <c r="D29" s="1" t="s">
        <v>13</v>
      </c>
      <c r="E29" s="3">
        <v>10.71</v>
      </c>
      <c r="F29" s="4">
        <v>30000.0</v>
      </c>
      <c r="G29" s="2">
        <f t="shared" si="3"/>
        <v>321300</v>
      </c>
    </row>
    <row r="30">
      <c r="B30" s="1" t="s">
        <v>37</v>
      </c>
      <c r="C30" s="1" t="s">
        <v>40</v>
      </c>
      <c r="D30" s="1" t="s">
        <v>36</v>
      </c>
      <c r="E30" s="3">
        <v>1.0</v>
      </c>
      <c r="F30" s="4">
        <v>549600.0</v>
      </c>
      <c r="G30" s="2">
        <f t="shared" si="3"/>
        <v>549600</v>
      </c>
    </row>
    <row r="31">
      <c r="B31" s="1" t="s">
        <v>39</v>
      </c>
      <c r="C31" s="1" t="s">
        <v>42</v>
      </c>
      <c r="D31" s="1" t="s">
        <v>36</v>
      </c>
      <c r="E31" s="3">
        <v>0.5</v>
      </c>
      <c r="F31" s="4">
        <v>751500.0</v>
      </c>
      <c r="G31" s="2">
        <f t="shared" si="3"/>
        <v>375750</v>
      </c>
    </row>
    <row r="32">
      <c r="B32" s="1" t="s">
        <v>41</v>
      </c>
      <c r="C32" s="1" t="s">
        <v>44</v>
      </c>
      <c r="D32" s="1" t="s">
        <v>13</v>
      </c>
      <c r="E32" s="3">
        <v>39.89</v>
      </c>
      <c r="F32" s="4">
        <v>114600.0</v>
      </c>
      <c r="G32" s="2">
        <f t="shared" si="3"/>
        <v>4571394</v>
      </c>
    </row>
    <row r="33">
      <c r="B33" s="1" t="s">
        <v>43</v>
      </c>
      <c r="C33" s="1" t="s">
        <v>46</v>
      </c>
      <c r="D33" s="1" t="s">
        <v>47</v>
      </c>
      <c r="E33" s="3">
        <v>329.61</v>
      </c>
      <c r="F33" s="4">
        <v>13000.0</v>
      </c>
      <c r="G33" s="2">
        <f t="shared" si="3"/>
        <v>4284930</v>
      </c>
    </row>
    <row r="34">
      <c r="B34" s="1" t="s">
        <v>51</v>
      </c>
      <c r="C34" s="1" t="s">
        <v>49</v>
      </c>
      <c r="D34" s="1" t="s">
        <v>36</v>
      </c>
      <c r="E34" s="3">
        <v>4.99</v>
      </c>
      <c r="F34" s="4">
        <v>1238700.0</v>
      </c>
      <c r="G34" s="2">
        <f t="shared" si="3"/>
        <v>6181113</v>
      </c>
    </row>
    <row r="35">
      <c r="B35" s="1" t="s">
        <v>52</v>
      </c>
    </row>
    <row r="37">
      <c r="B37" s="1" t="s">
        <v>53</v>
      </c>
    </row>
    <row r="38">
      <c r="B38" s="1" t="s">
        <v>35</v>
      </c>
      <c r="D38" s="1" t="s">
        <v>36</v>
      </c>
      <c r="E38" s="3">
        <v>28.29</v>
      </c>
      <c r="F38" s="4">
        <v>96000.0</v>
      </c>
      <c r="G38" s="2">
        <f t="shared" ref="G38:G44" si="4">F38*E38</f>
        <v>2715840</v>
      </c>
    </row>
    <row r="39">
      <c r="B39" s="1" t="s">
        <v>37</v>
      </c>
      <c r="C39" s="1" t="s">
        <v>38</v>
      </c>
      <c r="D39" s="1" t="s">
        <v>13</v>
      </c>
      <c r="E39" s="3">
        <v>101.04</v>
      </c>
      <c r="F39" s="4">
        <v>30000.0</v>
      </c>
      <c r="G39" s="2">
        <f t="shared" si="4"/>
        <v>3031200</v>
      </c>
    </row>
    <row r="40">
      <c r="B40" s="1" t="s">
        <v>39</v>
      </c>
      <c r="C40" s="1" t="s">
        <v>40</v>
      </c>
      <c r="D40" s="1" t="s">
        <v>36</v>
      </c>
      <c r="E40" s="3">
        <v>10.1</v>
      </c>
      <c r="F40" s="4">
        <v>549600.0</v>
      </c>
      <c r="G40" s="2">
        <f t="shared" si="4"/>
        <v>5550960</v>
      </c>
    </row>
    <row r="41">
      <c r="B41" s="1" t="s">
        <v>41</v>
      </c>
      <c r="C41" s="1" t="s">
        <v>42</v>
      </c>
      <c r="D41" s="1" t="s">
        <v>36</v>
      </c>
      <c r="E41" s="3">
        <v>5.05</v>
      </c>
      <c r="F41" s="4">
        <v>751500.0</v>
      </c>
      <c r="G41" s="2">
        <f t="shared" si="4"/>
        <v>3795075</v>
      </c>
    </row>
    <row r="42">
      <c r="B42" s="1" t="s">
        <v>43</v>
      </c>
      <c r="C42" s="1" t="s">
        <v>44</v>
      </c>
      <c r="D42" s="1" t="s">
        <v>13</v>
      </c>
      <c r="E42" s="3">
        <v>8.0</v>
      </c>
      <c r="F42" s="4">
        <v>114600.0</v>
      </c>
      <c r="G42" s="2">
        <f t="shared" si="4"/>
        <v>916800</v>
      </c>
    </row>
    <row r="43">
      <c r="B43" s="1" t="s">
        <v>51</v>
      </c>
      <c r="C43" s="1" t="s">
        <v>54</v>
      </c>
      <c r="D43" s="1" t="s">
        <v>13</v>
      </c>
      <c r="E43" s="3">
        <v>101.04</v>
      </c>
      <c r="F43" s="4">
        <v>137000.0</v>
      </c>
      <c r="G43" s="2">
        <f t="shared" si="4"/>
        <v>13842480</v>
      </c>
    </row>
    <row r="44">
      <c r="B44" s="1" t="s">
        <v>52</v>
      </c>
      <c r="C44" s="1" t="s">
        <v>49</v>
      </c>
      <c r="D44" s="1" t="s">
        <v>36</v>
      </c>
      <c r="E44" s="3">
        <v>13.14</v>
      </c>
      <c r="F44" s="4">
        <v>1238700.0</v>
      </c>
      <c r="G44" s="2">
        <f t="shared" si="4"/>
        <v>16276518</v>
      </c>
    </row>
    <row r="45">
      <c r="F45" s="4"/>
    </row>
    <row r="46">
      <c r="A46" s="1">
        <v>3.0</v>
      </c>
      <c r="B46" s="1" t="s">
        <v>55</v>
      </c>
      <c r="F46" s="4"/>
      <c r="H46" s="2">
        <f>sum(G48:G103)</f>
        <v>323881846</v>
      </c>
    </row>
    <row r="47">
      <c r="B47" s="1" t="s">
        <v>56</v>
      </c>
      <c r="F47" s="4"/>
    </row>
    <row r="48">
      <c r="B48" s="1" t="s">
        <v>43</v>
      </c>
      <c r="C48" s="1" t="s">
        <v>57</v>
      </c>
      <c r="D48" s="1" t="s">
        <v>13</v>
      </c>
      <c r="E48" s="3">
        <v>23.94</v>
      </c>
      <c r="F48" s="4">
        <v>114600.0</v>
      </c>
      <c r="G48" s="2">
        <f t="shared" ref="G48:G50" si="5">F48*E48</f>
        <v>2743524</v>
      </c>
    </row>
    <row r="49">
      <c r="B49" s="1" t="s">
        <v>45</v>
      </c>
      <c r="C49" s="1" t="s">
        <v>58</v>
      </c>
      <c r="D49" s="1" t="s">
        <v>47</v>
      </c>
      <c r="E49" s="3">
        <v>690.46</v>
      </c>
      <c r="F49" s="4">
        <v>13000.0</v>
      </c>
      <c r="G49" s="2">
        <f t="shared" si="5"/>
        <v>8975980</v>
      </c>
    </row>
    <row r="50">
      <c r="B50" s="1" t="s">
        <v>52</v>
      </c>
      <c r="C50" s="1" t="s">
        <v>59</v>
      </c>
      <c r="D50" s="1" t="s">
        <v>36</v>
      </c>
      <c r="E50" s="3">
        <v>2.46</v>
      </c>
      <c r="F50" s="4">
        <v>1238700.0</v>
      </c>
      <c r="G50" s="2">
        <f t="shared" si="5"/>
        <v>3047202</v>
      </c>
    </row>
    <row r="51">
      <c r="E51" s="5"/>
      <c r="F51" s="4"/>
    </row>
    <row r="52">
      <c r="B52" s="1" t="s">
        <v>60</v>
      </c>
      <c r="E52" s="5"/>
      <c r="F52" s="4"/>
    </row>
    <row r="53">
      <c r="B53" s="1" t="s">
        <v>43</v>
      </c>
      <c r="C53" s="1" t="s">
        <v>61</v>
      </c>
      <c r="D53" s="1" t="s">
        <v>13</v>
      </c>
      <c r="E53" s="3">
        <v>51.85</v>
      </c>
      <c r="F53" s="4">
        <v>114600.0</v>
      </c>
      <c r="G53" s="2">
        <f t="shared" ref="G53:G55" si="6">F53*E53</f>
        <v>5942010</v>
      </c>
    </row>
    <row r="54">
      <c r="B54" s="1" t="s">
        <v>45</v>
      </c>
      <c r="C54" s="1" t="s">
        <v>58</v>
      </c>
      <c r="D54" s="1" t="s">
        <v>47</v>
      </c>
      <c r="E54" s="3">
        <v>1171.45</v>
      </c>
      <c r="F54" s="4">
        <v>13000.0</v>
      </c>
      <c r="G54" s="2">
        <f t="shared" si="6"/>
        <v>15228850</v>
      </c>
    </row>
    <row r="55">
      <c r="B55" s="1" t="s">
        <v>52</v>
      </c>
      <c r="C55" s="1" t="s">
        <v>62</v>
      </c>
      <c r="D55" s="1" t="s">
        <v>36</v>
      </c>
      <c r="E55" s="3">
        <v>6.33</v>
      </c>
      <c r="F55" s="4">
        <v>1238700.0</v>
      </c>
      <c r="G55" s="2">
        <f t="shared" si="6"/>
        <v>7840971</v>
      </c>
    </row>
    <row r="56">
      <c r="E56" s="5"/>
      <c r="F56" s="4"/>
    </row>
    <row r="57">
      <c r="B57" s="1" t="s">
        <v>63</v>
      </c>
      <c r="E57" s="5"/>
      <c r="F57" s="4"/>
    </row>
    <row r="58">
      <c r="B58" s="1" t="s">
        <v>64</v>
      </c>
      <c r="C58" s="1" t="s">
        <v>61</v>
      </c>
      <c r="D58" s="1" t="s">
        <v>13</v>
      </c>
      <c r="E58" s="3">
        <v>3.0</v>
      </c>
      <c r="F58" s="4">
        <v>114600.0</v>
      </c>
      <c r="G58" s="2">
        <f t="shared" ref="G58:G62" si="7">F58*E58</f>
        <v>343800</v>
      </c>
    </row>
    <row r="59">
      <c r="B59" s="1" t="s">
        <v>65</v>
      </c>
      <c r="C59" s="1" t="s">
        <v>66</v>
      </c>
      <c r="D59" s="1" t="s">
        <v>13</v>
      </c>
      <c r="E59" s="3">
        <v>105.04</v>
      </c>
      <c r="F59" s="4">
        <v>198000.0</v>
      </c>
      <c r="G59" s="2">
        <f t="shared" si="7"/>
        <v>20797920</v>
      </c>
    </row>
    <row r="60">
      <c r="B60" s="1" t="s">
        <v>51</v>
      </c>
      <c r="C60" s="1" t="s">
        <v>58</v>
      </c>
      <c r="D60" s="1" t="s">
        <v>47</v>
      </c>
      <c r="E60" s="3">
        <v>380.0</v>
      </c>
      <c r="F60" s="4">
        <v>13000.0</v>
      </c>
      <c r="G60" s="2">
        <f t="shared" si="7"/>
        <v>4940000</v>
      </c>
    </row>
    <row r="61">
      <c r="B61" s="1" t="s">
        <v>51</v>
      </c>
      <c r="C61" s="1" t="s">
        <v>67</v>
      </c>
      <c r="D61" s="1" t="s">
        <v>13</v>
      </c>
      <c r="E61" s="3">
        <v>108.04</v>
      </c>
      <c r="F61" s="4">
        <v>133900.0</v>
      </c>
      <c r="G61" s="2">
        <f t="shared" si="7"/>
        <v>14466556</v>
      </c>
    </row>
    <row r="62">
      <c r="B62" s="1" t="s">
        <v>52</v>
      </c>
      <c r="C62" s="1" t="s">
        <v>59</v>
      </c>
      <c r="D62" s="1" t="s">
        <v>36</v>
      </c>
      <c r="E62" s="3">
        <v>15.63</v>
      </c>
      <c r="F62" s="4">
        <v>1238700.0</v>
      </c>
      <c r="G62" s="2">
        <f t="shared" si="7"/>
        <v>19360881</v>
      </c>
    </row>
    <row r="63">
      <c r="E63" s="5"/>
      <c r="F63" s="4"/>
    </row>
    <row r="64">
      <c r="B64" s="1" t="s">
        <v>68</v>
      </c>
      <c r="E64" s="5"/>
      <c r="F64" s="4"/>
    </row>
    <row r="65">
      <c r="B65" s="1" t="s">
        <v>43</v>
      </c>
      <c r="C65" s="1" t="s">
        <v>57</v>
      </c>
      <c r="D65" s="1" t="s">
        <v>13</v>
      </c>
      <c r="E65" s="3">
        <v>23.94</v>
      </c>
      <c r="F65" s="4">
        <v>114600.0</v>
      </c>
      <c r="G65" s="2">
        <f t="shared" ref="G65:G67" si="8">F65*E65</f>
        <v>2743524</v>
      </c>
    </row>
    <row r="66">
      <c r="B66" s="1" t="s">
        <v>51</v>
      </c>
      <c r="C66" s="1" t="s">
        <v>58</v>
      </c>
      <c r="D66" s="1" t="s">
        <v>47</v>
      </c>
      <c r="E66" s="3">
        <v>690.46</v>
      </c>
      <c r="F66" s="4">
        <v>13000.0</v>
      </c>
      <c r="G66" s="2">
        <f t="shared" si="8"/>
        <v>8975980</v>
      </c>
    </row>
    <row r="67">
      <c r="B67" s="1" t="s">
        <v>52</v>
      </c>
      <c r="C67" s="1" t="s">
        <v>69</v>
      </c>
      <c r="D67" s="1" t="s">
        <v>36</v>
      </c>
      <c r="E67" s="3">
        <v>2.46</v>
      </c>
      <c r="F67" s="4">
        <v>1238700.0</v>
      </c>
      <c r="G67" s="2">
        <f t="shared" si="8"/>
        <v>3047202</v>
      </c>
    </row>
    <row r="68">
      <c r="E68" s="3"/>
      <c r="F68" s="4"/>
    </row>
    <row r="69">
      <c r="B69" s="1" t="s">
        <v>70</v>
      </c>
      <c r="E69" s="3"/>
      <c r="F69" s="4"/>
    </row>
    <row r="70">
      <c r="B70" s="1" t="s">
        <v>43</v>
      </c>
      <c r="C70" s="1" t="s">
        <v>57</v>
      </c>
      <c r="D70" s="1" t="s">
        <v>13</v>
      </c>
      <c r="E70" s="3">
        <v>51.85</v>
      </c>
      <c r="F70" s="4">
        <v>114600.0</v>
      </c>
      <c r="G70" s="2">
        <f t="shared" ref="G70:G72" si="9">F70*E70</f>
        <v>5942010</v>
      </c>
    </row>
    <row r="71">
      <c r="B71" s="1" t="s">
        <v>51</v>
      </c>
      <c r="C71" s="1" t="s">
        <v>58</v>
      </c>
      <c r="D71" s="1" t="s">
        <v>47</v>
      </c>
      <c r="E71" s="3">
        <v>1171.45</v>
      </c>
      <c r="F71" s="4">
        <v>13000.0</v>
      </c>
      <c r="G71" s="2">
        <f t="shared" si="9"/>
        <v>15228850</v>
      </c>
    </row>
    <row r="72">
      <c r="B72" s="1" t="s">
        <v>52</v>
      </c>
      <c r="C72" s="1" t="s">
        <v>59</v>
      </c>
      <c r="D72" s="1" t="s">
        <v>36</v>
      </c>
      <c r="E72" s="3">
        <v>6.33</v>
      </c>
      <c r="F72" s="4">
        <v>1238700.0</v>
      </c>
      <c r="G72" s="2">
        <f t="shared" si="9"/>
        <v>7840971</v>
      </c>
    </row>
    <row r="73">
      <c r="E73" s="3"/>
      <c r="F73" s="4"/>
    </row>
    <row r="74">
      <c r="A74" s="6"/>
      <c r="B74" s="7" t="s">
        <v>71</v>
      </c>
      <c r="C74" s="6"/>
      <c r="D74" s="6"/>
      <c r="E74" s="8"/>
      <c r="F74" s="9"/>
      <c r="G74" s="6"/>
      <c r="H74" s="6"/>
    </row>
    <row r="75">
      <c r="A75" s="6"/>
      <c r="B75" s="7" t="s">
        <v>72</v>
      </c>
      <c r="C75" s="7" t="s">
        <v>57</v>
      </c>
      <c r="D75" s="7" t="s">
        <v>13</v>
      </c>
      <c r="E75" s="8">
        <v>3.0</v>
      </c>
      <c r="F75" s="9">
        <v>114600.0</v>
      </c>
      <c r="G75" s="10">
        <f t="shared" ref="G75:G79" si="10">F75*E75</f>
        <v>343800</v>
      </c>
      <c r="H75" s="6"/>
    </row>
    <row r="76">
      <c r="A76" s="6"/>
      <c r="B76" s="7" t="s">
        <v>73</v>
      </c>
      <c r="C76" s="7" t="s">
        <v>74</v>
      </c>
      <c r="D76" s="7" t="s">
        <v>13</v>
      </c>
      <c r="E76" s="8">
        <v>105.04</v>
      </c>
      <c r="F76" s="9">
        <v>198000.0</v>
      </c>
      <c r="G76" s="10">
        <f t="shared" si="10"/>
        <v>20797920</v>
      </c>
      <c r="H76" s="6"/>
    </row>
    <row r="77">
      <c r="A77" s="6"/>
      <c r="B77" s="7" t="s">
        <v>51</v>
      </c>
      <c r="C77" s="7" t="s">
        <v>46</v>
      </c>
      <c r="D77" s="7" t="s">
        <v>47</v>
      </c>
      <c r="E77" s="8">
        <v>380.0</v>
      </c>
      <c r="F77" s="9">
        <v>13000.0</v>
      </c>
      <c r="G77" s="10">
        <f t="shared" si="10"/>
        <v>4940000</v>
      </c>
      <c r="H77" s="6"/>
    </row>
    <row r="78">
      <c r="A78" s="6"/>
      <c r="B78" s="7" t="s">
        <v>51</v>
      </c>
      <c r="C78" s="7" t="s">
        <v>67</v>
      </c>
      <c r="D78" s="7" t="s">
        <v>13</v>
      </c>
      <c r="E78" s="8">
        <v>108.04</v>
      </c>
      <c r="F78" s="9">
        <v>137000.0</v>
      </c>
      <c r="G78" s="10">
        <f t="shared" si="10"/>
        <v>14801480</v>
      </c>
      <c r="H78" s="6"/>
    </row>
    <row r="79">
      <c r="A79" s="6"/>
      <c r="B79" s="7" t="s">
        <v>52</v>
      </c>
      <c r="C79" s="7" t="s">
        <v>69</v>
      </c>
      <c r="D79" s="7" t="s">
        <v>36</v>
      </c>
      <c r="E79" s="8">
        <v>15.63</v>
      </c>
      <c r="F79" s="9">
        <v>1238700.0</v>
      </c>
      <c r="G79" s="10">
        <f t="shared" si="10"/>
        <v>19360881</v>
      </c>
      <c r="H79" s="6"/>
    </row>
    <row r="80">
      <c r="E80" s="3"/>
      <c r="F80" s="4"/>
    </row>
    <row r="81">
      <c r="A81" s="6"/>
      <c r="B81" s="7" t="s">
        <v>75</v>
      </c>
      <c r="C81" s="6"/>
      <c r="D81" s="6"/>
      <c r="E81" s="8"/>
      <c r="F81" s="9"/>
      <c r="G81" s="6"/>
      <c r="H81" s="6"/>
    </row>
    <row r="82">
      <c r="A82" s="6"/>
      <c r="B82" s="7" t="s">
        <v>43</v>
      </c>
      <c r="C82" s="7" t="s">
        <v>57</v>
      </c>
      <c r="D82" s="7" t="s">
        <v>13</v>
      </c>
      <c r="E82" s="8">
        <v>23.94</v>
      </c>
      <c r="F82" s="9">
        <v>114600.0</v>
      </c>
      <c r="G82" s="10">
        <f t="shared" ref="G82:G84" si="11">F82*E82</f>
        <v>2743524</v>
      </c>
      <c r="H82" s="6"/>
    </row>
    <row r="83">
      <c r="A83" s="6"/>
      <c r="B83" s="7" t="s">
        <v>45</v>
      </c>
      <c r="C83" s="7" t="s">
        <v>58</v>
      </c>
      <c r="D83" s="7" t="s">
        <v>47</v>
      </c>
      <c r="E83" s="8">
        <v>690.46</v>
      </c>
      <c r="F83" s="9">
        <v>13000.0</v>
      </c>
      <c r="G83" s="10">
        <f t="shared" si="11"/>
        <v>8975980</v>
      </c>
      <c r="H83" s="6"/>
    </row>
    <row r="84">
      <c r="A84" s="6"/>
      <c r="B84" s="7" t="s">
        <v>52</v>
      </c>
      <c r="C84" s="7" t="s">
        <v>69</v>
      </c>
      <c r="D84" s="7" t="s">
        <v>36</v>
      </c>
      <c r="E84" s="8">
        <v>2.46</v>
      </c>
      <c r="F84" s="9">
        <v>1238700.0</v>
      </c>
      <c r="G84" s="10">
        <f t="shared" si="11"/>
        <v>3047202</v>
      </c>
      <c r="H84" s="6"/>
    </row>
    <row r="85">
      <c r="E85" s="3"/>
      <c r="F85" s="4"/>
    </row>
    <row r="86">
      <c r="A86" s="11"/>
      <c r="B86" s="12" t="s">
        <v>76</v>
      </c>
      <c r="C86" s="11"/>
      <c r="D86" s="11"/>
      <c r="E86" s="13"/>
      <c r="F86" s="14"/>
      <c r="G86" s="11"/>
      <c r="H86" s="11"/>
    </row>
    <row r="87">
      <c r="A87" s="11"/>
      <c r="B87" s="12" t="s">
        <v>77</v>
      </c>
      <c r="C87" s="12" t="s">
        <v>57</v>
      </c>
      <c r="D87" s="12" t="s">
        <v>13</v>
      </c>
      <c r="E87" s="13">
        <v>54.88</v>
      </c>
      <c r="F87" s="14">
        <v>114600.0</v>
      </c>
      <c r="G87" s="15">
        <f t="shared" ref="G87:G89" si="12">F87*E87</f>
        <v>6289248</v>
      </c>
      <c r="H87" s="11"/>
    </row>
    <row r="88">
      <c r="A88" s="11"/>
      <c r="B88" s="12" t="s">
        <v>51</v>
      </c>
      <c r="C88" s="12" t="s">
        <v>58</v>
      </c>
      <c r="D88" s="12" t="s">
        <v>47</v>
      </c>
      <c r="E88" s="13">
        <v>1068.12</v>
      </c>
      <c r="F88" s="14">
        <v>13000.0</v>
      </c>
      <c r="G88" s="15">
        <f t="shared" si="12"/>
        <v>13885560</v>
      </c>
      <c r="H88" s="11"/>
    </row>
    <row r="89">
      <c r="A89" s="11"/>
      <c r="B89" s="12" t="s">
        <v>52</v>
      </c>
      <c r="C89" s="12" t="s">
        <v>69</v>
      </c>
      <c r="D89" s="12" t="s">
        <v>36</v>
      </c>
      <c r="E89" s="13">
        <v>6.47</v>
      </c>
      <c r="F89" s="14">
        <v>1238700.0</v>
      </c>
      <c r="G89" s="15">
        <f t="shared" si="12"/>
        <v>8014389</v>
      </c>
      <c r="H89" s="11"/>
    </row>
    <row r="90">
      <c r="E90" s="3"/>
      <c r="F90" s="4"/>
    </row>
    <row r="91">
      <c r="A91" s="16"/>
      <c r="B91" s="17" t="s">
        <v>78</v>
      </c>
      <c r="C91" s="16"/>
      <c r="D91" s="16"/>
      <c r="E91" s="18"/>
      <c r="F91" s="19"/>
      <c r="G91" s="16"/>
      <c r="H91" s="16"/>
      <c r="I91" s="16"/>
    </row>
    <row r="92">
      <c r="A92" s="16"/>
      <c r="B92" s="17" t="s">
        <v>73</v>
      </c>
      <c r="C92" s="17" t="s">
        <v>74</v>
      </c>
      <c r="D92" s="17" t="s">
        <v>13</v>
      </c>
      <c r="E92" s="18">
        <v>105.04</v>
      </c>
      <c r="F92" s="19">
        <v>186000.0</v>
      </c>
      <c r="G92" s="20">
        <f t="shared" ref="G92:G95" si="13">F92*E92</f>
        <v>19537440</v>
      </c>
      <c r="H92" s="16"/>
      <c r="I92" s="17" t="s">
        <v>79</v>
      </c>
    </row>
    <row r="93">
      <c r="A93" s="16"/>
      <c r="B93" s="17" t="s">
        <v>51</v>
      </c>
      <c r="C93" s="17" t="s">
        <v>46</v>
      </c>
      <c r="D93" s="17" t="s">
        <v>47</v>
      </c>
      <c r="E93" s="18">
        <v>380.0</v>
      </c>
      <c r="F93" s="19">
        <v>13000.0</v>
      </c>
      <c r="G93" s="20">
        <f t="shared" si="13"/>
        <v>4940000</v>
      </c>
      <c r="H93" s="16"/>
      <c r="I93" s="17" t="s">
        <v>80</v>
      </c>
    </row>
    <row r="94">
      <c r="A94" s="16"/>
      <c r="B94" s="17" t="s">
        <v>51</v>
      </c>
      <c r="C94" s="17" t="s">
        <v>67</v>
      </c>
      <c r="D94" s="17" t="s">
        <v>13</v>
      </c>
      <c r="E94" s="18">
        <v>108.04</v>
      </c>
      <c r="F94" s="19">
        <v>137000.0</v>
      </c>
      <c r="G94" s="20">
        <f t="shared" si="13"/>
        <v>14801480</v>
      </c>
      <c r="H94" s="16"/>
      <c r="I94" s="16"/>
    </row>
    <row r="95">
      <c r="A95" s="16"/>
      <c r="B95" s="17" t="s">
        <v>52</v>
      </c>
      <c r="C95" s="17" t="s">
        <v>69</v>
      </c>
      <c r="D95" s="17" t="s">
        <v>36</v>
      </c>
      <c r="E95" s="18">
        <v>15.63</v>
      </c>
      <c r="F95" s="19">
        <v>1238700.0</v>
      </c>
      <c r="G95" s="20">
        <f t="shared" si="13"/>
        <v>19360881</v>
      </c>
      <c r="H95" s="16"/>
      <c r="I95" s="16"/>
    </row>
    <row r="96">
      <c r="E96" s="3"/>
      <c r="F96" s="4"/>
    </row>
    <row r="97">
      <c r="E97" s="3"/>
      <c r="F97" s="4"/>
    </row>
    <row r="98">
      <c r="B98" s="1" t="s">
        <v>81</v>
      </c>
      <c r="C98" s="1" t="s">
        <v>82</v>
      </c>
      <c r="D98" s="1" t="s">
        <v>83</v>
      </c>
      <c r="E98" s="3">
        <v>1.0</v>
      </c>
      <c r="F98" s="4">
        <v>4500000.0</v>
      </c>
      <c r="G98" s="2">
        <f>F98*E98</f>
        <v>4500000</v>
      </c>
      <c r="I98" s="1" t="s">
        <v>84</v>
      </c>
    </row>
    <row r="99">
      <c r="E99" s="3"/>
      <c r="F99" s="4"/>
    </row>
    <row r="100">
      <c r="B100" s="1" t="s">
        <v>85</v>
      </c>
      <c r="E100" s="3"/>
      <c r="F100" s="4"/>
    </row>
    <row r="101">
      <c r="A101" s="16"/>
      <c r="B101" s="17" t="s">
        <v>86</v>
      </c>
      <c r="C101" s="17" t="s">
        <v>57</v>
      </c>
      <c r="D101" s="17" t="s">
        <v>13</v>
      </c>
      <c r="E101" s="18">
        <v>26.42</v>
      </c>
      <c r="F101" s="19">
        <v>114600.0</v>
      </c>
      <c r="G101" s="20">
        <f t="shared" ref="G101:G103" si="14">F101*E101</f>
        <v>3027732</v>
      </c>
      <c r="H101" s="16"/>
      <c r="I101" s="17" t="s">
        <v>87</v>
      </c>
    </row>
    <row r="102">
      <c r="A102" s="16"/>
      <c r="B102" s="17" t="s">
        <v>51</v>
      </c>
      <c r="C102" s="17" t="s">
        <v>58</v>
      </c>
      <c r="D102" s="17" t="s">
        <v>47</v>
      </c>
      <c r="E102" s="18">
        <v>290.61</v>
      </c>
      <c r="F102" s="19">
        <v>13000.0</v>
      </c>
      <c r="G102" s="20">
        <f t="shared" si="14"/>
        <v>3777930</v>
      </c>
      <c r="H102" s="16"/>
      <c r="I102" s="16"/>
    </row>
    <row r="103">
      <c r="A103" s="16"/>
      <c r="B103" s="17" t="s">
        <v>52</v>
      </c>
      <c r="C103" s="17" t="s">
        <v>88</v>
      </c>
      <c r="D103" s="17" t="s">
        <v>36</v>
      </c>
      <c r="E103" s="18">
        <v>2.64</v>
      </c>
      <c r="F103" s="19">
        <v>1238700.0</v>
      </c>
      <c r="G103" s="20">
        <f t="shared" si="14"/>
        <v>3270168</v>
      </c>
      <c r="H103" s="16"/>
      <c r="I103" s="16"/>
    </row>
    <row r="104">
      <c r="E104" s="3"/>
      <c r="F104" s="4"/>
    </row>
    <row r="105">
      <c r="A105" s="1" t="s">
        <v>89</v>
      </c>
      <c r="B105" s="1" t="s">
        <v>90</v>
      </c>
      <c r="E105" s="3"/>
      <c r="F105" s="4"/>
      <c r="H105" s="2">
        <f>sum(G107:G171)</f>
        <v>471451425</v>
      </c>
    </row>
    <row r="106">
      <c r="A106" s="16"/>
      <c r="B106" s="17" t="s">
        <v>91</v>
      </c>
      <c r="C106" s="16"/>
      <c r="D106" s="16"/>
      <c r="E106" s="18"/>
      <c r="F106" s="19"/>
      <c r="G106" s="16"/>
      <c r="H106" s="16"/>
      <c r="I106" s="17" t="s">
        <v>92</v>
      </c>
      <c r="J106" s="1" t="s">
        <v>93</v>
      </c>
      <c r="K106" s="1" t="s">
        <v>94</v>
      </c>
    </row>
    <row r="107">
      <c r="A107" s="16"/>
      <c r="B107" s="17" t="s">
        <v>95</v>
      </c>
      <c r="C107" s="17" t="s">
        <v>96</v>
      </c>
      <c r="D107" s="17" t="s">
        <v>13</v>
      </c>
      <c r="E107" s="18">
        <v>460.58</v>
      </c>
      <c r="F107" s="19">
        <v>137300.0</v>
      </c>
      <c r="G107" s="20">
        <f t="shared" ref="G107:G112" si="15">F107*E107</f>
        <v>63237634</v>
      </c>
      <c r="H107" s="16"/>
      <c r="I107" s="16"/>
      <c r="J107" s="1" t="s">
        <v>97</v>
      </c>
      <c r="K107" s="1" t="s">
        <v>98</v>
      </c>
    </row>
    <row r="108">
      <c r="A108" s="16"/>
      <c r="B108" s="17" t="s">
        <v>99</v>
      </c>
      <c r="C108" s="17" t="s">
        <v>100</v>
      </c>
      <c r="D108" s="17" t="s">
        <v>13</v>
      </c>
      <c r="E108" s="18">
        <v>921.16</v>
      </c>
      <c r="F108" s="19">
        <v>49200.0</v>
      </c>
      <c r="G108" s="20">
        <f t="shared" si="15"/>
        <v>45321072</v>
      </c>
      <c r="H108" s="16"/>
      <c r="I108" s="16"/>
      <c r="J108" s="1" t="s">
        <v>101</v>
      </c>
      <c r="K108" s="1" t="s">
        <v>98</v>
      </c>
    </row>
    <row r="109">
      <c r="A109" s="16"/>
      <c r="B109" s="17" t="s">
        <v>102</v>
      </c>
      <c r="C109" s="17" t="s">
        <v>100</v>
      </c>
      <c r="D109" s="17" t="s">
        <v>13</v>
      </c>
      <c r="E109" s="18">
        <v>921.16</v>
      </c>
      <c r="F109" s="19">
        <v>22600.0</v>
      </c>
      <c r="G109" s="20">
        <f t="shared" si="15"/>
        <v>20818216</v>
      </c>
      <c r="H109" s="16"/>
      <c r="I109" s="16"/>
    </row>
    <row r="110">
      <c r="A110" s="16"/>
      <c r="B110" s="17" t="s">
        <v>103</v>
      </c>
      <c r="C110" s="16"/>
      <c r="D110" s="17" t="s">
        <v>13</v>
      </c>
      <c r="E110" s="18">
        <v>607.56</v>
      </c>
      <c r="F110" s="19">
        <v>21600.0</v>
      </c>
      <c r="G110" s="20">
        <f t="shared" si="15"/>
        <v>13123296</v>
      </c>
      <c r="H110" s="16"/>
      <c r="I110" s="16"/>
    </row>
    <row r="111">
      <c r="A111" s="16"/>
      <c r="B111" s="17" t="s">
        <v>104</v>
      </c>
      <c r="C111" s="16"/>
      <c r="D111" s="17" t="s">
        <v>13</v>
      </c>
      <c r="E111" s="18">
        <v>263.46</v>
      </c>
      <c r="F111" s="19">
        <v>30000.0</v>
      </c>
      <c r="G111" s="20">
        <f t="shared" si="15"/>
        <v>7903800</v>
      </c>
      <c r="H111" s="16"/>
      <c r="I111" s="16"/>
    </row>
    <row r="112">
      <c r="A112" s="16"/>
      <c r="B112" s="17" t="s">
        <v>105</v>
      </c>
      <c r="C112" s="16"/>
      <c r="D112" s="17" t="s">
        <v>13</v>
      </c>
      <c r="E112" s="18">
        <v>56.34</v>
      </c>
      <c r="F112" s="19">
        <v>281000.0</v>
      </c>
      <c r="G112" s="20">
        <f t="shared" si="15"/>
        <v>15831540</v>
      </c>
      <c r="H112" s="16"/>
      <c r="I112" s="16"/>
    </row>
    <row r="113">
      <c r="A113" s="16"/>
      <c r="B113" s="17" t="s">
        <v>106</v>
      </c>
      <c r="C113" s="16"/>
      <c r="D113" s="16"/>
      <c r="E113" s="18"/>
      <c r="F113" s="19"/>
      <c r="G113" s="16"/>
      <c r="H113" s="16"/>
      <c r="I113" s="16"/>
    </row>
    <row r="114">
      <c r="A114" s="16"/>
      <c r="B114" s="16"/>
      <c r="C114" s="16"/>
      <c r="D114" s="16"/>
      <c r="E114" s="18"/>
      <c r="F114" s="19"/>
      <c r="G114" s="16"/>
      <c r="H114" s="16"/>
      <c r="I114" s="16"/>
    </row>
    <row r="115">
      <c r="A115" s="16"/>
      <c r="B115" s="17" t="s">
        <v>107</v>
      </c>
      <c r="C115" s="16"/>
      <c r="D115" s="16"/>
      <c r="E115" s="18"/>
      <c r="F115" s="19"/>
      <c r="G115" s="16"/>
      <c r="H115" s="16"/>
      <c r="I115" s="16"/>
    </row>
    <row r="116">
      <c r="A116" s="16"/>
      <c r="B116" s="17" t="s">
        <v>108</v>
      </c>
      <c r="C116" s="16"/>
      <c r="D116" s="17" t="s">
        <v>13</v>
      </c>
      <c r="E116" s="18">
        <v>401.4</v>
      </c>
      <c r="F116" s="19">
        <v>46200.0</v>
      </c>
      <c r="G116" s="20">
        <f t="shared" ref="G116:G121" si="16">F116*E116</f>
        <v>18544680</v>
      </c>
      <c r="H116" s="16"/>
      <c r="I116" s="16"/>
    </row>
    <row r="117">
      <c r="A117" s="16"/>
      <c r="B117" s="17" t="s">
        <v>109</v>
      </c>
      <c r="C117" s="17" t="s">
        <v>110</v>
      </c>
      <c r="D117" s="17" t="s">
        <v>13</v>
      </c>
      <c r="E117" s="18">
        <v>246.12</v>
      </c>
      <c r="F117" s="19">
        <v>286300.0</v>
      </c>
      <c r="G117" s="20">
        <f t="shared" si="16"/>
        <v>70464156</v>
      </c>
      <c r="H117" s="16"/>
      <c r="I117" s="16"/>
    </row>
    <row r="118">
      <c r="A118" s="16"/>
      <c r="B118" s="17" t="s">
        <v>111</v>
      </c>
      <c r="C118" s="17" t="s">
        <v>110</v>
      </c>
      <c r="D118" s="17" t="s">
        <v>13</v>
      </c>
      <c r="E118" s="18">
        <v>10.55</v>
      </c>
      <c r="F118" s="19">
        <v>286300.0</v>
      </c>
      <c r="G118" s="20">
        <f t="shared" si="16"/>
        <v>3020465</v>
      </c>
      <c r="H118" s="16"/>
      <c r="I118" s="16"/>
    </row>
    <row r="119">
      <c r="A119" s="16"/>
      <c r="B119" s="17" t="s">
        <v>112</v>
      </c>
      <c r="C119" s="17" t="s">
        <v>113</v>
      </c>
      <c r="D119" s="17" t="s">
        <v>13</v>
      </c>
      <c r="E119" s="18">
        <v>33.02</v>
      </c>
      <c r="F119" s="19">
        <v>267600.0</v>
      </c>
      <c r="G119" s="20">
        <f t="shared" si="16"/>
        <v>8836152</v>
      </c>
      <c r="H119" s="16"/>
      <c r="I119" s="16"/>
    </row>
    <row r="120">
      <c r="A120" s="16"/>
      <c r="B120" s="17" t="s">
        <v>114</v>
      </c>
      <c r="C120" s="17" t="s">
        <v>115</v>
      </c>
      <c r="D120" s="17" t="s">
        <v>13</v>
      </c>
      <c r="E120" s="18">
        <v>104.49</v>
      </c>
      <c r="F120" s="19">
        <v>108000.0</v>
      </c>
      <c r="G120" s="20">
        <f t="shared" si="16"/>
        <v>11284920</v>
      </c>
      <c r="H120" s="16"/>
      <c r="I120" s="16"/>
    </row>
    <row r="121">
      <c r="A121" s="16"/>
      <c r="B121" s="17" t="s">
        <v>116</v>
      </c>
      <c r="C121" s="17" t="s">
        <v>117</v>
      </c>
      <c r="D121" s="17" t="s">
        <v>13</v>
      </c>
      <c r="E121" s="18">
        <v>16.67</v>
      </c>
      <c r="F121" s="19">
        <v>540000.0</v>
      </c>
      <c r="G121" s="20">
        <f t="shared" si="16"/>
        <v>9001800</v>
      </c>
      <c r="H121" s="16"/>
      <c r="I121" s="16"/>
    </row>
    <row r="122">
      <c r="A122" s="16"/>
      <c r="B122" s="16"/>
      <c r="C122" s="16"/>
      <c r="D122" s="16"/>
      <c r="E122" s="18"/>
      <c r="F122" s="19"/>
      <c r="G122" s="16"/>
      <c r="H122" s="16"/>
      <c r="I122" s="16"/>
    </row>
    <row r="123">
      <c r="A123" s="16"/>
      <c r="B123" s="17" t="s">
        <v>118</v>
      </c>
      <c r="C123" s="16"/>
      <c r="D123" s="16"/>
      <c r="E123" s="18"/>
      <c r="F123" s="19"/>
      <c r="G123" s="16"/>
      <c r="H123" s="16"/>
      <c r="I123" s="16"/>
    </row>
    <row r="124">
      <c r="A124" s="16"/>
      <c r="B124" s="17" t="s">
        <v>108</v>
      </c>
      <c r="C124" s="16"/>
      <c r="D124" s="17" t="s">
        <v>13</v>
      </c>
      <c r="E124" s="18">
        <v>31.98</v>
      </c>
      <c r="F124" s="19">
        <v>46200.0</v>
      </c>
      <c r="G124" s="20">
        <f t="shared" ref="G124:G126" si="17">F124*E124</f>
        <v>1477476</v>
      </c>
      <c r="H124" s="16"/>
      <c r="I124" s="16"/>
    </row>
    <row r="125">
      <c r="A125" s="16"/>
      <c r="B125" s="17" t="s">
        <v>119</v>
      </c>
      <c r="C125" s="17" t="s">
        <v>120</v>
      </c>
      <c r="D125" s="17" t="s">
        <v>13</v>
      </c>
      <c r="E125" s="18">
        <v>31.98</v>
      </c>
      <c r="F125" s="19">
        <v>335000.0</v>
      </c>
      <c r="G125" s="20">
        <f t="shared" si="17"/>
        <v>10713300</v>
      </c>
      <c r="H125" s="16"/>
      <c r="I125" s="16"/>
    </row>
    <row r="126">
      <c r="A126" s="16"/>
      <c r="B126" s="17" t="s">
        <v>121</v>
      </c>
      <c r="C126" s="16"/>
      <c r="D126" s="17" t="s">
        <v>11</v>
      </c>
      <c r="E126" s="18">
        <v>16.33</v>
      </c>
      <c r="F126" s="19">
        <v>660000.0</v>
      </c>
      <c r="G126" s="20">
        <f t="shared" si="17"/>
        <v>10777800</v>
      </c>
      <c r="H126" s="16"/>
      <c r="I126" s="16"/>
    </row>
    <row r="127">
      <c r="A127" s="16"/>
      <c r="B127" s="16"/>
      <c r="C127" s="16"/>
      <c r="D127" s="16"/>
      <c r="E127" s="18"/>
      <c r="F127" s="19"/>
      <c r="G127" s="16"/>
      <c r="H127" s="16"/>
      <c r="I127" s="16"/>
    </row>
    <row r="128">
      <c r="A128" s="16"/>
      <c r="B128" s="17" t="s">
        <v>122</v>
      </c>
      <c r="C128" s="16"/>
      <c r="D128" s="16"/>
      <c r="E128" s="18"/>
      <c r="F128" s="19"/>
      <c r="G128" s="16"/>
      <c r="H128" s="16"/>
      <c r="I128" s="16"/>
    </row>
    <row r="129">
      <c r="A129" s="16"/>
      <c r="B129" s="17" t="s">
        <v>123</v>
      </c>
      <c r="C129" s="17" t="s">
        <v>124</v>
      </c>
      <c r="D129" s="17" t="s">
        <v>13</v>
      </c>
      <c r="E129" s="18">
        <v>360.02</v>
      </c>
      <c r="F129" s="19">
        <v>114000.0</v>
      </c>
      <c r="G129" s="20">
        <f t="shared" ref="G129:G134" si="18">F129*E129</f>
        <v>41042280</v>
      </c>
      <c r="H129" s="16"/>
      <c r="I129" s="16"/>
    </row>
    <row r="130">
      <c r="A130" s="16"/>
      <c r="B130" s="17" t="s">
        <v>125</v>
      </c>
      <c r="C130" s="17" t="s">
        <v>126</v>
      </c>
      <c r="D130" s="17" t="s">
        <v>13</v>
      </c>
      <c r="E130" s="18">
        <v>53.57</v>
      </c>
      <c r="F130" s="19">
        <v>132000.0</v>
      </c>
      <c r="G130" s="20">
        <f t="shared" si="18"/>
        <v>7071240</v>
      </c>
      <c r="H130" s="16"/>
      <c r="I130" s="16"/>
    </row>
    <row r="131">
      <c r="A131" s="16"/>
      <c r="B131" s="17" t="s">
        <v>127</v>
      </c>
      <c r="C131" s="17" t="s">
        <v>128</v>
      </c>
      <c r="D131" s="17" t="s">
        <v>13</v>
      </c>
      <c r="E131" s="18">
        <v>27.33</v>
      </c>
      <c r="F131" s="19">
        <v>24000.0</v>
      </c>
      <c r="G131" s="20">
        <f t="shared" si="18"/>
        <v>655920</v>
      </c>
      <c r="H131" s="16"/>
      <c r="I131" s="16"/>
    </row>
    <row r="132">
      <c r="A132" s="16"/>
      <c r="B132" s="17" t="s">
        <v>129</v>
      </c>
      <c r="C132" s="16"/>
      <c r="D132" s="17" t="s">
        <v>11</v>
      </c>
      <c r="E132" s="18">
        <v>158.65</v>
      </c>
      <c r="F132" s="19">
        <v>19800.0</v>
      </c>
      <c r="G132" s="20">
        <f t="shared" si="18"/>
        <v>3141270</v>
      </c>
      <c r="H132" s="16"/>
      <c r="I132" s="16"/>
    </row>
    <row r="133">
      <c r="A133" s="16"/>
      <c r="B133" s="17" t="s">
        <v>130</v>
      </c>
      <c r="C133" s="17" t="s">
        <v>131</v>
      </c>
      <c r="D133" s="17" t="s">
        <v>13</v>
      </c>
      <c r="E133" s="18">
        <v>10.26</v>
      </c>
      <c r="F133" s="19">
        <v>132000.0</v>
      </c>
      <c r="G133" s="20">
        <f t="shared" si="18"/>
        <v>1354320</v>
      </c>
      <c r="H133" s="16"/>
      <c r="I133" s="16"/>
    </row>
    <row r="134">
      <c r="A134" s="16"/>
      <c r="B134" s="17" t="s">
        <v>132</v>
      </c>
      <c r="C134" s="16"/>
      <c r="D134" s="17" t="s">
        <v>13</v>
      </c>
      <c r="E134" s="18">
        <v>451.18</v>
      </c>
      <c r="F134" s="19">
        <v>21600.0</v>
      </c>
      <c r="G134" s="20">
        <f t="shared" si="18"/>
        <v>9745488</v>
      </c>
      <c r="H134" s="16"/>
      <c r="I134" s="16"/>
    </row>
    <row r="135">
      <c r="E135" s="3"/>
      <c r="F135" s="4"/>
    </row>
    <row r="136">
      <c r="B136" s="1" t="s">
        <v>133</v>
      </c>
      <c r="E136" s="3"/>
      <c r="F136" s="4"/>
    </row>
    <row r="137">
      <c r="B137" s="1" t="s">
        <v>134</v>
      </c>
      <c r="C137" s="1" t="s">
        <v>135</v>
      </c>
      <c r="D137" s="1" t="s">
        <v>24</v>
      </c>
      <c r="E137" s="3">
        <v>1.0</v>
      </c>
      <c r="F137" s="4">
        <v>1.57848E7</v>
      </c>
      <c r="G137" s="2">
        <f>F137*E137</f>
        <v>15784800</v>
      </c>
    </row>
    <row r="138">
      <c r="C138" s="1" t="s">
        <v>136</v>
      </c>
      <c r="E138" s="3"/>
      <c r="F138" s="4"/>
    </row>
    <row r="139">
      <c r="C139" s="1" t="s">
        <v>137</v>
      </c>
      <c r="E139" s="3"/>
      <c r="F139" s="4"/>
    </row>
    <row r="140">
      <c r="C140" s="1" t="s">
        <v>138</v>
      </c>
      <c r="E140" s="3"/>
      <c r="F140" s="4"/>
    </row>
    <row r="141">
      <c r="C141" s="1" t="s">
        <v>139</v>
      </c>
      <c r="E141" s="3"/>
      <c r="F141" s="4"/>
    </row>
    <row r="142">
      <c r="E142" s="3"/>
      <c r="F142" s="4"/>
    </row>
    <row r="143">
      <c r="E143" s="3"/>
      <c r="F143" s="4"/>
    </row>
    <row r="144">
      <c r="B144" s="1" t="s">
        <v>140</v>
      </c>
      <c r="C144" s="1" t="s">
        <v>141</v>
      </c>
      <c r="D144" s="1" t="s">
        <v>13</v>
      </c>
      <c r="E144" s="3">
        <v>19.2</v>
      </c>
      <c r="F144" s="4">
        <v>1440000.0</v>
      </c>
      <c r="G144" s="2">
        <f>F144*E144</f>
        <v>27648000</v>
      </c>
    </row>
    <row r="145">
      <c r="C145" s="1" t="s">
        <v>142</v>
      </c>
      <c r="E145" s="3"/>
      <c r="F145" s="4"/>
    </row>
    <row r="146">
      <c r="E146" s="3"/>
      <c r="F146" s="4"/>
    </row>
    <row r="147">
      <c r="B147" s="1" t="s">
        <v>140</v>
      </c>
      <c r="C147" s="1" t="s">
        <v>141</v>
      </c>
      <c r="D147" s="1" t="s">
        <v>13</v>
      </c>
      <c r="E147" s="3">
        <v>12.84</v>
      </c>
      <c r="F147" s="4">
        <v>1440000.0</v>
      </c>
      <c r="G147" s="2">
        <f>F147*E147</f>
        <v>18489600</v>
      </c>
    </row>
    <row r="148">
      <c r="C148" s="1" t="s">
        <v>142</v>
      </c>
      <c r="E148" s="3"/>
      <c r="F148" s="4"/>
    </row>
    <row r="149">
      <c r="E149" s="3"/>
      <c r="F149" s="4"/>
    </row>
    <row r="150">
      <c r="B150" s="1" t="s">
        <v>143</v>
      </c>
      <c r="C150" s="1" t="s">
        <v>135</v>
      </c>
      <c r="D150" s="1" t="s">
        <v>24</v>
      </c>
      <c r="E150" s="3">
        <v>1.0</v>
      </c>
      <c r="F150" s="4">
        <v>5980200.0</v>
      </c>
      <c r="G150" s="2">
        <f>F150*E150</f>
        <v>5980200</v>
      </c>
    </row>
    <row r="151">
      <c r="C151" s="1" t="s">
        <v>144</v>
      </c>
      <c r="E151" s="3"/>
      <c r="F151" s="4"/>
    </row>
    <row r="152">
      <c r="C152" s="1" t="s">
        <v>145</v>
      </c>
      <c r="E152" s="3"/>
      <c r="F152" s="4"/>
    </row>
    <row r="153">
      <c r="C153" s="1" t="s">
        <v>146</v>
      </c>
      <c r="E153" s="3"/>
      <c r="F153" s="4"/>
    </row>
    <row r="154">
      <c r="C154" s="1" t="s">
        <v>147</v>
      </c>
      <c r="E154" s="3"/>
      <c r="F154" s="4"/>
    </row>
    <row r="155">
      <c r="E155" s="3"/>
      <c r="F155" s="4"/>
    </row>
    <row r="156">
      <c r="B156" s="1" t="s">
        <v>148</v>
      </c>
      <c r="C156" s="1" t="s">
        <v>135</v>
      </c>
      <c r="D156" s="1" t="s">
        <v>24</v>
      </c>
      <c r="E156" s="3">
        <v>1.0</v>
      </c>
      <c r="F156" s="4">
        <v>5837600.0</v>
      </c>
      <c r="G156" s="2">
        <f>F156*E156</f>
        <v>5837600</v>
      </c>
    </row>
    <row r="157">
      <c r="C157" s="1" t="s">
        <v>149</v>
      </c>
      <c r="E157" s="3"/>
      <c r="F157" s="4"/>
    </row>
    <row r="158">
      <c r="C158" s="1" t="s">
        <v>146</v>
      </c>
      <c r="E158" s="3"/>
      <c r="F158" s="4"/>
    </row>
    <row r="159">
      <c r="E159" s="3"/>
      <c r="F159" s="4"/>
    </row>
    <row r="160">
      <c r="B160" s="1" t="s">
        <v>150</v>
      </c>
      <c r="C160" s="1" t="s">
        <v>135</v>
      </c>
      <c r="D160" s="1" t="s">
        <v>24</v>
      </c>
      <c r="E160" s="3">
        <v>1.0</v>
      </c>
      <c r="F160" s="4">
        <v>5418500.0</v>
      </c>
      <c r="G160" s="2">
        <f>F160*E160</f>
        <v>5418500</v>
      </c>
    </row>
    <row r="161">
      <c r="C161" s="1" t="s">
        <v>149</v>
      </c>
      <c r="E161" s="3"/>
      <c r="F161" s="4"/>
    </row>
    <row r="162">
      <c r="C162" s="1" t="s">
        <v>146</v>
      </c>
      <c r="E162" s="3"/>
      <c r="F162" s="4"/>
    </row>
    <row r="163">
      <c r="E163" s="3"/>
      <c r="F163" s="4"/>
    </row>
    <row r="164">
      <c r="B164" s="1" t="s">
        <v>151</v>
      </c>
      <c r="C164" s="1" t="s">
        <v>135</v>
      </c>
      <c r="D164" s="1" t="s">
        <v>24</v>
      </c>
      <c r="E164" s="3">
        <v>1.0</v>
      </c>
      <c r="F164" s="4">
        <v>8089400.0</v>
      </c>
      <c r="G164" s="2">
        <f>F164*E164</f>
        <v>8089400</v>
      </c>
    </row>
    <row r="165">
      <c r="C165" s="1" t="s">
        <v>149</v>
      </c>
    </row>
    <row r="166">
      <c r="C166" s="1" t="s">
        <v>146</v>
      </c>
    </row>
    <row r="168">
      <c r="B168" s="1" t="s">
        <v>152</v>
      </c>
    </row>
    <row r="169">
      <c r="B169" s="1" t="s">
        <v>153</v>
      </c>
      <c r="C169" s="1" t="s">
        <v>154</v>
      </c>
      <c r="D169" s="1" t="s">
        <v>24</v>
      </c>
      <c r="E169" s="3">
        <v>3.0</v>
      </c>
      <c r="F169" s="4">
        <v>1647100.0</v>
      </c>
      <c r="G169" s="2">
        <f t="shared" ref="G169:G171" si="19">F169*E169</f>
        <v>4941300</v>
      </c>
    </row>
    <row r="170">
      <c r="B170" s="1" t="s">
        <v>155</v>
      </c>
      <c r="C170" s="1" t="s">
        <v>156</v>
      </c>
      <c r="D170" s="1" t="s">
        <v>24</v>
      </c>
      <c r="E170" s="3">
        <v>2.0</v>
      </c>
      <c r="F170" s="4">
        <v>1352900.0</v>
      </c>
      <c r="G170" s="2">
        <f t="shared" si="19"/>
        <v>2705800</v>
      </c>
    </row>
    <row r="171">
      <c r="B171" s="1" t="s">
        <v>157</v>
      </c>
      <c r="C171" s="1" t="s">
        <v>154</v>
      </c>
      <c r="D171" s="1" t="s">
        <v>24</v>
      </c>
      <c r="E171" s="3">
        <v>1.0</v>
      </c>
      <c r="F171" s="4">
        <v>3189400.0</v>
      </c>
      <c r="G171" s="2">
        <f t="shared" si="19"/>
        <v>3189400</v>
      </c>
    </row>
    <row r="172">
      <c r="E172" s="3"/>
      <c r="F172" s="4"/>
    </row>
    <row r="173">
      <c r="B173" s="1" t="s">
        <v>158</v>
      </c>
      <c r="E173" s="3"/>
      <c r="F173" s="4"/>
      <c r="H173" s="2">
        <f>sum(G175:G196)</f>
        <v>61427690</v>
      </c>
    </row>
    <row r="174">
      <c r="B174" s="1" t="s">
        <v>159</v>
      </c>
      <c r="E174" s="3"/>
      <c r="F174" s="4"/>
    </row>
    <row r="175">
      <c r="A175" s="16"/>
      <c r="B175" s="17" t="s">
        <v>160</v>
      </c>
      <c r="C175" s="17" t="s">
        <v>161</v>
      </c>
      <c r="D175" s="17" t="s">
        <v>11</v>
      </c>
      <c r="E175" s="18">
        <v>44.05</v>
      </c>
      <c r="F175" s="19">
        <v>36100.0</v>
      </c>
      <c r="G175" s="20">
        <f t="shared" ref="G175:G184" si="20">F175*E175</f>
        <v>1590205</v>
      </c>
      <c r="H175" s="16"/>
      <c r="I175" s="21">
        <v>43864.0</v>
      </c>
    </row>
    <row r="176">
      <c r="A176" s="16"/>
      <c r="B176" s="17" t="s">
        <v>162</v>
      </c>
      <c r="C176" s="17" t="s">
        <v>163</v>
      </c>
      <c r="D176" s="17" t="s">
        <v>11</v>
      </c>
      <c r="E176" s="18">
        <v>36.85</v>
      </c>
      <c r="F176" s="19">
        <v>177000.0</v>
      </c>
      <c r="G176" s="20">
        <f t="shared" si="20"/>
        <v>6522450</v>
      </c>
      <c r="H176" s="16"/>
      <c r="I176" s="16"/>
    </row>
    <row r="177">
      <c r="A177" s="16"/>
      <c r="B177" s="17" t="s">
        <v>164</v>
      </c>
      <c r="C177" s="17" t="s">
        <v>165</v>
      </c>
      <c r="D177" s="17" t="s">
        <v>11</v>
      </c>
      <c r="E177" s="18">
        <v>22.4</v>
      </c>
      <c r="F177" s="19">
        <v>47700.0</v>
      </c>
      <c r="G177" s="20">
        <f t="shared" si="20"/>
        <v>1068480</v>
      </c>
      <c r="H177" s="16"/>
      <c r="I177" s="16"/>
    </row>
    <row r="178">
      <c r="A178" s="16"/>
      <c r="B178" s="17" t="s">
        <v>166</v>
      </c>
      <c r="C178" s="17" t="s">
        <v>167</v>
      </c>
      <c r="D178" s="17" t="s">
        <v>11</v>
      </c>
      <c r="E178" s="18">
        <v>36.85</v>
      </c>
      <c r="F178" s="19">
        <v>74300.0</v>
      </c>
      <c r="G178" s="20">
        <f t="shared" si="20"/>
        <v>2737955</v>
      </c>
      <c r="H178" s="16"/>
      <c r="I178" s="16"/>
    </row>
    <row r="179">
      <c r="A179" s="16"/>
      <c r="B179" s="17" t="s">
        <v>168</v>
      </c>
      <c r="C179" s="17" t="s">
        <v>163</v>
      </c>
      <c r="D179" s="17" t="s">
        <v>11</v>
      </c>
      <c r="E179" s="18">
        <v>56.8</v>
      </c>
      <c r="F179" s="19">
        <v>177000.0</v>
      </c>
      <c r="G179" s="20">
        <f t="shared" si="20"/>
        <v>10053600</v>
      </c>
      <c r="H179" s="16"/>
      <c r="I179" s="16"/>
    </row>
    <row r="180">
      <c r="A180" s="16"/>
      <c r="B180" s="17" t="s">
        <v>169</v>
      </c>
      <c r="C180" s="16"/>
      <c r="D180" s="17" t="s">
        <v>21</v>
      </c>
      <c r="E180" s="18">
        <v>1.0</v>
      </c>
      <c r="F180" s="19">
        <v>4597700.0</v>
      </c>
      <c r="G180" s="20">
        <f t="shared" si="20"/>
        <v>4597700</v>
      </c>
      <c r="H180" s="16"/>
      <c r="I180" s="16"/>
    </row>
    <row r="181">
      <c r="B181" s="1" t="s">
        <v>170</v>
      </c>
      <c r="D181" s="1" t="s">
        <v>21</v>
      </c>
      <c r="E181" s="3">
        <v>1.0</v>
      </c>
      <c r="F181" s="4">
        <v>5172400.0</v>
      </c>
      <c r="G181" s="2">
        <f t="shared" si="20"/>
        <v>5172400</v>
      </c>
    </row>
    <row r="182">
      <c r="B182" s="1" t="s">
        <v>171</v>
      </c>
      <c r="C182" s="1" t="s">
        <v>172</v>
      </c>
      <c r="D182" s="1" t="s">
        <v>24</v>
      </c>
      <c r="E182" s="3">
        <v>6.0</v>
      </c>
      <c r="F182" s="4">
        <v>316100.0</v>
      </c>
      <c r="G182" s="2">
        <f t="shared" si="20"/>
        <v>1896600</v>
      </c>
    </row>
    <row r="183">
      <c r="B183" s="1" t="s">
        <v>173</v>
      </c>
      <c r="C183" s="1" t="s">
        <v>172</v>
      </c>
      <c r="D183" s="1" t="s">
        <v>24</v>
      </c>
      <c r="E183" s="3">
        <v>6.0</v>
      </c>
      <c r="F183" s="4">
        <v>316100.0</v>
      </c>
      <c r="G183" s="2">
        <f t="shared" si="20"/>
        <v>1896600</v>
      </c>
    </row>
    <row r="184">
      <c r="B184" s="1" t="s">
        <v>174</v>
      </c>
      <c r="C184" s="1" t="s">
        <v>175</v>
      </c>
      <c r="D184" s="1" t="s">
        <v>24</v>
      </c>
      <c r="E184" s="3">
        <v>7.0</v>
      </c>
      <c r="F184" s="4">
        <v>201100.0</v>
      </c>
      <c r="G184" s="2">
        <f t="shared" si="20"/>
        <v>1407700</v>
      </c>
    </row>
    <row r="185">
      <c r="E185" s="3"/>
      <c r="F185" s="4"/>
    </row>
    <row r="186">
      <c r="B186" s="1" t="s">
        <v>176</v>
      </c>
      <c r="E186" s="3"/>
      <c r="F186" s="4"/>
    </row>
    <row r="187">
      <c r="A187" s="16"/>
      <c r="B187" s="17" t="s">
        <v>177</v>
      </c>
      <c r="C187" s="17" t="s">
        <v>178</v>
      </c>
      <c r="D187" s="17" t="s">
        <v>24</v>
      </c>
      <c r="E187" s="18">
        <v>3.0</v>
      </c>
      <c r="F187" s="19">
        <v>2592700.0</v>
      </c>
      <c r="G187" s="20">
        <f t="shared" ref="G187:G191" si="21">F187*E187</f>
        <v>7778100</v>
      </c>
      <c r="H187" s="16"/>
      <c r="I187" s="17" t="s">
        <v>179</v>
      </c>
    </row>
    <row r="188">
      <c r="A188" s="16"/>
      <c r="B188" s="17" t="s">
        <v>180</v>
      </c>
      <c r="C188" s="17" t="s">
        <v>181</v>
      </c>
      <c r="D188" s="17" t="s">
        <v>24</v>
      </c>
      <c r="E188" s="18">
        <v>3.0</v>
      </c>
      <c r="F188" s="19">
        <v>263200.0</v>
      </c>
      <c r="G188" s="20">
        <f t="shared" si="21"/>
        <v>789600</v>
      </c>
      <c r="H188" s="16"/>
      <c r="I188" s="16"/>
    </row>
    <row r="189">
      <c r="A189" s="16"/>
      <c r="B189" s="17" t="s">
        <v>182</v>
      </c>
      <c r="C189" s="17" t="s">
        <v>183</v>
      </c>
      <c r="D189" s="17" t="s">
        <v>24</v>
      </c>
      <c r="E189" s="18">
        <v>3.0</v>
      </c>
      <c r="F189" s="19">
        <v>1424400.0</v>
      </c>
      <c r="G189" s="20">
        <f t="shared" si="21"/>
        <v>4273200</v>
      </c>
      <c r="H189" s="16"/>
      <c r="I189" s="16"/>
    </row>
    <row r="190">
      <c r="A190" s="16"/>
      <c r="B190" s="17" t="s">
        <v>184</v>
      </c>
      <c r="C190" s="17" t="s">
        <v>185</v>
      </c>
      <c r="D190" s="17" t="s">
        <v>24</v>
      </c>
      <c r="E190" s="18">
        <v>3.0</v>
      </c>
      <c r="F190" s="19">
        <v>363500.0</v>
      </c>
      <c r="G190" s="20">
        <f t="shared" si="21"/>
        <v>1090500</v>
      </c>
      <c r="H190" s="16"/>
      <c r="I190" s="16"/>
    </row>
    <row r="191">
      <c r="B191" s="1" t="s">
        <v>186</v>
      </c>
      <c r="C191" s="1" t="s">
        <v>187</v>
      </c>
      <c r="D191" s="1" t="s">
        <v>24</v>
      </c>
      <c r="E191" s="3">
        <v>2.0</v>
      </c>
      <c r="F191" s="4">
        <v>276300.0</v>
      </c>
      <c r="G191" s="2">
        <f t="shared" si="21"/>
        <v>552600</v>
      </c>
    </row>
    <row r="192">
      <c r="E192" s="3"/>
      <c r="F192" s="4"/>
    </row>
    <row r="193">
      <c r="B193" s="1" t="s">
        <v>188</v>
      </c>
      <c r="E193" s="3"/>
      <c r="F193" s="4"/>
    </row>
    <row r="194">
      <c r="B194" s="1" t="s">
        <v>189</v>
      </c>
      <c r="C194" s="1" t="s">
        <v>190</v>
      </c>
      <c r="D194" s="1" t="s">
        <v>24</v>
      </c>
      <c r="E194" s="3">
        <v>1.0</v>
      </c>
      <c r="F194" s="4">
        <v>3620700.0</v>
      </c>
      <c r="G194" s="2">
        <f t="shared" ref="G194:G196" si="22">F194*E194</f>
        <v>3620700</v>
      </c>
    </row>
    <row r="195">
      <c r="B195" s="1" t="s">
        <v>191</v>
      </c>
      <c r="C195" s="1" t="s">
        <v>192</v>
      </c>
      <c r="D195" s="1" t="s">
        <v>24</v>
      </c>
      <c r="E195" s="3">
        <v>1.0</v>
      </c>
      <c r="F195" s="4">
        <v>2183900.0</v>
      </c>
      <c r="G195" s="2">
        <f t="shared" si="22"/>
        <v>2183900</v>
      </c>
    </row>
    <row r="196">
      <c r="B196" s="1" t="s">
        <v>193</v>
      </c>
      <c r="C196" s="1" t="s">
        <v>194</v>
      </c>
      <c r="D196" s="1" t="s">
        <v>24</v>
      </c>
      <c r="E196" s="3">
        <v>1.0</v>
      </c>
      <c r="F196" s="4">
        <v>4195400.0</v>
      </c>
      <c r="G196" s="2">
        <f t="shared" si="22"/>
        <v>4195400</v>
      </c>
    </row>
    <row r="197">
      <c r="E197" s="3"/>
      <c r="F197" s="4"/>
    </row>
    <row r="198">
      <c r="B198" s="1" t="s">
        <v>195</v>
      </c>
      <c r="E198" s="3"/>
      <c r="F198" s="4"/>
      <c r="H198" s="2">
        <f>sum(G200:G215)</f>
        <v>41229600</v>
      </c>
    </row>
    <row r="199">
      <c r="B199" s="1" t="s">
        <v>159</v>
      </c>
      <c r="E199" s="3"/>
      <c r="F199" s="4"/>
    </row>
    <row r="200">
      <c r="A200" s="16"/>
      <c r="B200" s="17" t="s">
        <v>196</v>
      </c>
      <c r="C200" s="17" t="s">
        <v>197</v>
      </c>
      <c r="D200" s="17" t="s">
        <v>32</v>
      </c>
      <c r="E200" s="18">
        <v>77.0</v>
      </c>
      <c r="F200" s="19">
        <v>213800.0</v>
      </c>
      <c r="G200" s="20">
        <f t="shared" ref="G200:G202" si="23">F200*E200</f>
        <v>16462600</v>
      </c>
      <c r="H200" s="16"/>
      <c r="I200" s="17" t="s">
        <v>198</v>
      </c>
    </row>
    <row r="201">
      <c r="A201" s="16"/>
      <c r="B201" s="17" t="s">
        <v>199</v>
      </c>
      <c r="C201" s="17" t="s">
        <v>197</v>
      </c>
      <c r="D201" s="17" t="s">
        <v>32</v>
      </c>
      <c r="E201" s="18">
        <v>15.0</v>
      </c>
      <c r="F201" s="19">
        <v>248300.0</v>
      </c>
      <c r="G201" s="20">
        <f t="shared" si="23"/>
        <v>3724500</v>
      </c>
      <c r="H201" s="16"/>
      <c r="I201" s="16"/>
    </row>
    <row r="202">
      <c r="A202" s="16"/>
      <c r="B202" s="17" t="s">
        <v>200</v>
      </c>
      <c r="C202" s="17" t="s">
        <v>197</v>
      </c>
      <c r="D202" s="17" t="s">
        <v>32</v>
      </c>
      <c r="E202" s="18">
        <v>6.0</v>
      </c>
      <c r="F202" s="19">
        <v>248300.0</v>
      </c>
      <c r="G202" s="20">
        <f t="shared" si="23"/>
        <v>1489800</v>
      </c>
      <c r="H202" s="16"/>
      <c r="I202" s="16"/>
    </row>
    <row r="203">
      <c r="A203" s="16"/>
      <c r="B203" s="16"/>
      <c r="C203" s="16"/>
      <c r="D203" s="16"/>
      <c r="E203" s="18"/>
      <c r="F203" s="19"/>
      <c r="G203" s="16"/>
      <c r="H203" s="16"/>
      <c r="I203" s="16"/>
    </row>
    <row r="204">
      <c r="A204" s="16"/>
      <c r="B204" s="17" t="s">
        <v>201</v>
      </c>
      <c r="C204" s="16"/>
      <c r="D204" s="16"/>
      <c r="E204" s="18"/>
      <c r="F204" s="19"/>
      <c r="G204" s="16"/>
      <c r="H204" s="16"/>
      <c r="I204" s="16"/>
    </row>
    <row r="205">
      <c r="A205" s="16"/>
      <c r="B205" s="17" t="s">
        <v>202</v>
      </c>
      <c r="C205" s="17" t="s">
        <v>203</v>
      </c>
      <c r="D205" s="17" t="s">
        <v>24</v>
      </c>
      <c r="E205" s="18">
        <v>77.0</v>
      </c>
      <c r="F205" s="19">
        <v>133300.0</v>
      </c>
      <c r="G205" s="20">
        <f t="shared" ref="G205:G209" si="24">F205*E205</f>
        <v>10264100</v>
      </c>
      <c r="H205" s="16"/>
      <c r="I205" s="16"/>
    </row>
    <row r="206">
      <c r="A206" s="16"/>
      <c r="B206" s="17" t="s">
        <v>204</v>
      </c>
      <c r="C206" s="17" t="s">
        <v>205</v>
      </c>
      <c r="D206" s="17" t="s">
        <v>24</v>
      </c>
      <c r="E206" s="18">
        <v>6.0</v>
      </c>
      <c r="F206" s="19">
        <v>173600.0</v>
      </c>
      <c r="G206" s="20">
        <f t="shared" si="24"/>
        <v>1041600</v>
      </c>
      <c r="H206" s="16"/>
      <c r="I206" s="16"/>
    </row>
    <row r="207">
      <c r="A207" s="16"/>
      <c r="B207" s="17" t="s">
        <v>206</v>
      </c>
      <c r="C207" s="17" t="s">
        <v>205</v>
      </c>
      <c r="D207" s="17" t="s">
        <v>24</v>
      </c>
      <c r="E207" s="18">
        <v>1.0</v>
      </c>
      <c r="F207" s="19">
        <v>173600.0</v>
      </c>
      <c r="G207" s="20">
        <f t="shared" si="24"/>
        <v>173600</v>
      </c>
      <c r="H207" s="16"/>
      <c r="I207" s="16"/>
    </row>
    <row r="208">
      <c r="A208" s="16"/>
      <c r="B208" s="17" t="s">
        <v>207</v>
      </c>
      <c r="C208" s="17" t="s">
        <v>205</v>
      </c>
      <c r="D208" s="17" t="s">
        <v>24</v>
      </c>
      <c r="E208" s="18">
        <v>15.0</v>
      </c>
      <c r="F208" s="19">
        <v>173600.0</v>
      </c>
      <c r="G208" s="20">
        <f t="shared" si="24"/>
        <v>2604000</v>
      </c>
      <c r="H208" s="16"/>
      <c r="I208" s="16"/>
    </row>
    <row r="209">
      <c r="A209" s="16"/>
      <c r="B209" s="17" t="s">
        <v>208</v>
      </c>
      <c r="C209" s="17" t="s">
        <v>205</v>
      </c>
      <c r="D209" s="17" t="s">
        <v>24</v>
      </c>
      <c r="E209" s="18">
        <v>6.0</v>
      </c>
      <c r="F209" s="19">
        <v>173600.0</v>
      </c>
      <c r="G209" s="20">
        <f t="shared" si="24"/>
        <v>1041600</v>
      </c>
      <c r="H209" s="16"/>
      <c r="I209" s="16"/>
    </row>
    <row r="210">
      <c r="E210" s="3"/>
      <c r="F210" s="4"/>
    </row>
    <row r="211">
      <c r="B211" s="1" t="s">
        <v>209</v>
      </c>
      <c r="E211" s="3"/>
      <c r="F211" s="4"/>
    </row>
    <row r="212">
      <c r="B212" s="1" t="s">
        <v>210</v>
      </c>
      <c r="C212" s="1" t="s">
        <v>211</v>
      </c>
      <c r="D212" s="1" t="s">
        <v>24</v>
      </c>
      <c r="E212" s="3">
        <v>1.0</v>
      </c>
      <c r="F212" s="4">
        <v>327600.0</v>
      </c>
      <c r="G212" s="2">
        <f t="shared" ref="G212:G215" si="25">F212*E212</f>
        <v>327600</v>
      </c>
    </row>
    <row r="213">
      <c r="B213" s="1" t="s">
        <v>210</v>
      </c>
      <c r="C213" s="1" t="s">
        <v>212</v>
      </c>
      <c r="D213" s="1" t="s">
        <v>24</v>
      </c>
      <c r="E213" s="3">
        <v>2.0</v>
      </c>
      <c r="F213" s="4">
        <v>289700.0</v>
      </c>
      <c r="G213" s="2">
        <f t="shared" si="25"/>
        <v>579400</v>
      </c>
    </row>
    <row r="214">
      <c r="B214" s="1" t="s">
        <v>213</v>
      </c>
      <c r="C214" s="1" t="s">
        <v>214</v>
      </c>
      <c r="D214" s="1" t="s">
        <v>215</v>
      </c>
      <c r="E214" s="3">
        <v>24.0</v>
      </c>
      <c r="F214" s="4">
        <v>95400.0</v>
      </c>
      <c r="G214" s="2">
        <f t="shared" si="25"/>
        <v>2289600</v>
      </c>
    </row>
    <row r="215">
      <c r="B215" s="1" t="s">
        <v>216</v>
      </c>
      <c r="C215" s="1" t="s">
        <v>217</v>
      </c>
      <c r="D215" s="1" t="s">
        <v>11</v>
      </c>
      <c r="E215" s="3">
        <v>11.4</v>
      </c>
      <c r="F215" s="4">
        <v>108000.0</v>
      </c>
      <c r="G215" s="2">
        <f t="shared" si="25"/>
        <v>1231200</v>
      </c>
    </row>
    <row r="218">
      <c r="B218" s="22" t="s">
        <v>218</v>
      </c>
      <c r="H218" s="2">
        <f>sum(H2:H215)</f>
        <v>1072671655</v>
      </c>
    </row>
    <row r="219">
      <c r="B219" s="22" t="s">
        <v>219</v>
      </c>
      <c r="H219" s="2">
        <f>H218*0.1</f>
        <v>107267165.5</v>
      </c>
    </row>
    <row r="220">
      <c r="B220" s="22" t="s">
        <v>220</v>
      </c>
      <c r="H220" s="2">
        <f>H218+H219</f>
        <v>1179938821</v>
      </c>
    </row>
    <row r="221">
      <c r="B221" s="22" t="s">
        <v>221</v>
      </c>
      <c r="H221" s="4">
        <v>1.18E9</v>
      </c>
    </row>
  </sheetData>
  <mergeCells count="4">
    <mergeCell ref="B218:G218"/>
    <mergeCell ref="B219:G219"/>
    <mergeCell ref="B220:G220"/>
    <mergeCell ref="B221:G22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6.0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18.43"/>
    <col customWidth="1" min="10" max="10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H2" s="2">
        <f>sum(G3:G9)</f>
        <v>21230600</v>
      </c>
    </row>
    <row r="3">
      <c r="B3" s="1" t="s">
        <v>9</v>
      </c>
      <c r="C3" s="1" t="s">
        <v>10</v>
      </c>
      <c r="D3" s="1" t="s">
        <v>11</v>
      </c>
      <c r="E3" s="3">
        <v>40.0</v>
      </c>
      <c r="F3" s="4">
        <v>17400.0</v>
      </c>
      <c r="G3" s="2">
        <f t="shared" ref="G3:G9" si="1">F3*E3</f>
        <v>696000</v>
      </c>
    </row>
    <row r="4">
      <c r="B4" s="1" t="s">
        <v>12</v>
      </c>
      <c r="D4" s="1" t="s">
        <v>13</v>
      </c>
      <c r="E4" s="3">
        <v>30.0</v>
      </c>
      <c r="F4" s="4">
        <v>150700.0</v>
      </c>
      <c r="G4" s="2">
        <f t="shared" si="1"/>
        <v>4521000</v>
      </c>
    </row>
    <row r="5">
      <c r="B5" s="1" t="s">
        <v>14</v>
      </c>
      <c r="D5" s="1" t="s">
        <v>13</v>
      </c>
      <c r="E5" s="3">
        <v>30.0</v>
      </c>
      <c r="F5" s="4">
        <v>150700.0</v>
      </c>
      <c r="G5" s="2">
        <f t="shared" si="1"/>
        <v>4521000</v>
      </c>
    </row>
    <row r="6">
      <c r="B6" s="1" t="s">
        <v>15</v>
      </c>
      <c r="D6" s="1" t="s">
        <v>16</v>
      </c>
      <c r="E6" s="3">
        <v>6.0</v>
      </c>
      <c r="F6" s="4">
        <v>340900.0</v>
      </c>
      <c r="G6" s="2">
        <f t="shared" si="1"/>
        <v>2045400</v>
      </c>
    </row>
    <row r="7">
      <c r="B7" s="1" t="s">
        <v>17</v>
      </c>
      <c r="C7" s="1" t="s">
        <v>18</v>
      </c>
      <c r="D7" s="1" t="s">
        <v>16</v>
      </c>
      <c r="E7" s="3">
        <v>6.0</v>
      </c>
      <c r="F7" s="4">
        <v>712800.0</v>
      </c>
      <c r="G7" s="2">
        <f t="shared" si="1"/>
        <v>4276800</v>
      </c>
    </row>
    <row r="8">
      <c r="B8" s="1" t="s">
        <v>19</v>
      </c>
      <c r="C8" s="1" t="s">
        <v>20</v>
      </c>
      <c r="D8" s="1" t="s">
        <v>21</v>
      </c>
      <c r="E8" s="3">
        <v>96.0</v>
      </c>
      <c r="F8" s="4">
        <v>11600.0</v>
      </c>
      <c r="G8" s="2">
        <f t="shared" si="1"/>
        <v>1113600</v>
      </c>
    </row>
    <row r="9">
      <c r="B9" s="1" t="s">
        <v>22</v>
      </c>
      <c r="C9" s="1" t="s">
        <v>23</v>
      </c>
      <c r="D9" s="1" t="s">
        <v>24</v>
      </c>
      <c r="E9" s="3">
        <v>1.0</v>
      </c>
      <c r="F9" s="4">
        <v>4056800.0</v>
      </c>
      <c r="G9" s="2">
        <f t="shared" si="1"/>
        <v>4056800</v>
      </c>
    </row>
    <row r="11">
      <c r="A11" s="1">
        <v>2.0</v>
      </c>
      <c r="B11" s="1" t="s">
        <v>25</v>
      </c>
      <c r="H11" s="2">
        <f>sum(G12:G44)</f>
        <v>153450494</v>
      </c>
    </row>
    <row r="12">
      <c r="B12" s="1" t="s">
        <v>26</v>
      </c>
    </row>
    <row r="13">
      <c r="B13" s="1" t="s">
        <v>27</v>
      </c>
      <c r="C13" s="1" t="s">
        <v>28</v>
      </c>
      <c r="D13" s="1" t="s">
        <v>11</v>
      </c>
      <c r="E13" s="3">
        <v>156.0</v>
      </c>
      <c r="F13" s="4">
        <v>396000.0</v>
      </c>
      <c r="G13" s="2">
        <f>F13*E13</f>
        <v>61776000</v>
      </c>
    </row>
    <row r="14">
      <c r="C14" s="1" t="s">
        <v>29</v>
      </c>
      <c r="E14" s="5"/>
      <c r="F14" s="2"/>
    </row>
    <row r="15">
      <c r="C15" s="1" t="s">
        <v>30</v>
      </c>
      <c r="E15" s="5"/>
      <c r="F15" s="2"/>
    </row>
    <row r="16">
      <c r="B16" s="1" t="s">
        <v>31</v>
      </c>
      <c r="D16" s="1" t="s">
        <v>32</v>
      </c>
      <c r="E16" s="3">
        <v>13.0</v>
      </c>
      <c r="F16" s="4">
        <v>60000.0</v>
      </c>
      <c r="G16" s="2">
        <f>F16*E16</f>
        <v>780000</v>
      </c>
    </row>
    <row r="18">
      <c r="B18" s="1" t="s">
        <v>33</v>
      </c>
    </row>
    <row r="19">
      <c r="B19" s="1" t="s">
        <v>34</v>
      </c>
    </row>
    <row r="20">
      <c r="B20" s="1" t="s">
        <v>35</v>
      </c>
      <c r="D20" s="1" t="s">
        <v>36</v>
      </c>
      <c r="E20" s="3">
        <v>13.6</v>
      </c>
      <c r="F20" s="4">
        <v>93800.0</v>
      </c>
      <c r="G20" s="2">
        <f t="shared" ref="G20:G26" si="2">F20*E20</f>
        <v>1275680</v>
      </c>
    </row>
    <row r="21">
      <c r="B21" s="1" t="s">
        <v>37</v>
      </c>
      <c r="C21" s="1" t="s">
        <v>38</v>
      </c>
      <c r="D21" s="1" t="s">
        <v>13</v>
      </c>
      <c r="E21" s="3">
        <v>8.01</v>
      </c>
      <c r="F21" s="4">
        <v>30000.0</v>
      </c>
      <c r="G21" s="2">
        <f t="shared" si="2"/>
        <v>240300</v>
      </c>
    </row>
    <row r="22">
      <c r="B22" s="1" t="s">
        <v>39</v>
      </c>
      <c r="C22" s="1" t="s">
        <v>40</v>
      </c>
      <c r="D22" s="1" t="s">
        <v>36</v>
      </c>
      <c r="E22" s="3">
        <v>0.8</v>
      </c>
      <c r="F22" s="4">
        <v>549600.0</v>
      </c>
      <c r="G22" s="2">
        <f t="shared" si="2"/>
        <v>439680</v>
      </c>
    </row>
    <row r="23">
      <c r="B23" s="1" t="s">
        <v>41</v>
      </c>
      <c r="C23" s="1" t="s">
        <v>42</v>
      </c>
      <c r="D23" s="1" t="s">
        <v>36</v>
      </c>
      <c r="E23" s="3">
        <v>0.4</v>
      </c>
      <c r="F23" s="4">
        <v>751500.0</v>
      </c>
      <c r="G23" s="2">
        <f t="shared" si="2"/>
        <v>300600</v>
      </c>
    </row>
    <row r="24">
      <c r="B24" s="1" t="s">
        <v>43</v>
      </c>
      <c r="C24" s="1" t="s">
        <v>44</v>
      </c>
      <c r="D24" s="1" t="s">
        <v>13</v>
      </c>
      <c r="E24" s="3">
        <v>18.53</v>
      </c>
      <c r="F24" s="4">
        <v>114600.0</v>
      </c>
      <c r="G24" s="2">
        <f t="shared" si="2"/>
        <v>2123538</v>
      </c>
    </row>
    <row r="25">
      <c r="B25" s="1" t="s">
        <v>45</v>
      </c>
      <c r="C25" s="1" t="s">
        <v>46</v>
      </c>
      <c r="D25" s="1" t="s">
        <v>47</v>
      </c>
      <c r="E25" s="3">
        <v>1207.74</v>
      </c>
      <c r="F25" s="4">
        <v>13000.0</v>
      </c>
      <c r="G25" s="2">
        <f t="shared" si="2"/>
        <v>15700620</v>
      </c>
    </row>
    <row r="26">
      <c r="B26" s="1" t="s">
        <v>48</v>
      </c>
      <c r="C26" s="1" t="s">
        <v>49</v>
      </c>
      <c r="D26" s="1" t="s">
        <v>36</v>
      </c>
      <c r="E26" s="3">
        <v>6.28</v>
      </c>
      <c r="F26" s="4">
        <v>1238700.0</v>
      </c>
      <c r="G26" s="2">
        <f t="shared" si="2"/>
        <v>7779036</v>
      </c>
    </row>
    <row r="28">
      <c r="B28" s="1" t="s">
        <v>50</v>
      </c>
      <c r="D28" s="1" t="s">
        <v>36</v>
      </c>
      <c r="E28" s="3">
        <v>6.48</v>
      </c>
      <c r="F28" s="4">
        <v>96000.0</v>
      </c>
      <c r="G28" s="2">
        <f t="shared" ref="G28:G34" si="3">F28*E28</f>
        <v>622080</v>
      </c>
    </row>
    <row r="29">
      <c r="B29" s="1" t="s">
        <v>35</v>
      </c>
      <c r="C29" s="1" t="s">
        <v>38</v>
      </c>
      <c r="D29" s="1" t="s">
        <v>13</v>
      </c>
      <c r="E29" s="3">
        <v>10.71</v>
      </c>
      <c r="F29" s="4">
        <v>30000.0</v>
      </c>
      <c r="G29" s="2">
        <f t="shared" si="3"/>
        <v>321300</v>
      </c>
    </row>
    <row r="30">
      <c r="B30" s="1" t="s">
        <v>37</v>
      </c>
      <c r="C30" s="1" t="s">
        <v>40</v>
      </c>
      <c r="D30" s="1" t="s">
        <v>36</v>
      </c>
      <c r="E30" s="3">
        <v>1.0</v>
      </c>
      <c r="F30" s="4">
        <v>549600.0</v>
      </c>
      <c r="G30" s="2">
        <f t="shared" si="3"/>
        <v>549600</v>
      </c>
    </row>
    <row r="31">
      <c r="B31" s="1" t="s">
        <v>39</v>
      </c>
      <c r="C31" s="1" t="s">
        <v>42</v>
      </c>
      <c r="D31" s="1" t="s">
        <v>36</v>
      </c>
      <c r="E31" s="3">
        <v>0.5</v>
      </c>
      <c r="F31" s="4">
        <v>751500.0</v>
      </c>
      <c r="G31" s="2">
        <f t="shared" si="3"/>
        <v>375750</v>
      </c>
    </row>
    <row r="32">
      <c r="B32" s="1" t="s">
        <v>41</v>
      </c>
      <c r="C32" s="1" t="s">
        <v>44</v>
      </c>
      <c r="D32" s="1" t="s">
        <v>13</v>
      </c>
      <c r="E32" s="3">
        <v>39.89</v>
      </c>
      <c r="F32" s="4">
        <v>114600.0</v>
      </c>
      <c r="G32" s="2">
        <f t="shared" si="3"/>
        <v>4571394</v>
      </c>
    </row>
    <row r="33">
      <c r="B33" s="1" t="s">
        <v>43</v>
      </c>
      <c r="C33" s="1" t="s">
        <v>46</v>
      </c>
      <c r="D33" s="1" t="s">
        <v>47</v>
      </c>
      <c r="E33" s="3">
        <v>329.61</v>
      </c>
      <c r="F33" s="4">
        <v>13000.0</v>
      </c>
      <c r="G33" s="2">
        <f t="shared" si="3"/>
        <v>4284930</v>
      </c>
    </row>
    <row r="34">
      <c r="B34" s="1" t="s">
        <v>51</v>
      </c>
      <c r="C34" s="1" t="s">
        <v>49</v>
      </c>
      <c r="D34" s="1" t="s">
        <v>36</v>
      </c>
      <c r="E34" s="3">
        <v>4.99</v>
      </c>
      <c r="F34" s="4">
        <v>1238700.0</v>
      </c>
      <c r="G34" s="2">
        <f t="shared" si="3"/>
        <v>6181113</v>
      </c>
    </row>
    <row r="35">
      <c r="B35" s="1" t="s">
        <v>52</v>
      </c>
    </row>
    <row r="37">
      <c r="B37" s="1" t="s">
        <v>53</v>
      </c>
    </row>
    <row r="38">
      <c r="B38" s="1" t="s">
        <v>35</v>
      </c>
      <c r="D38" s="1" t="s">
        <v>36</v>
      </c>
      <c r="E38" s="3">
        <v>28.29</v>
      </c>
      <c r="F38" s="4">
        <v>96000.0</v>
      </c>
      <c r="G38" s="2">
        <f t="shared" ref="G38:G44" si="4">F38*E38</f>
        <v>2715840</v>
      </c>
    </row>
    <row r="39">
      <c r="B39" s="1" t="s">
        <v>37</v>
      </c>
      <c r="C39" s="1" t="s">
        <v>38</v>
      </c>
      <c r="D39" s="1" t="s">
        <v>13</v>
      </c>
      <c r="E39" s="3">
        <v>101.04</v>
      </c>
      <c r="F39" s="4">
        <v>30000.0</v>
      </c>
      <c r="G39" s="2">
        <f t="shared" si="4"/>
        <v>3031200</v>
      </c>
    </row>
    <row r="40">
      <c r="B40" s="1" t="s">
        <v>39</v>
      </c>
      <c r="C40" s="1" t="s">
        <v>40</v>
      </c>
      <c r="D40" s="1" t="s">
        <v>36</v>
      </c>
      <c r="E40" s="3">
        <v>10.1</v>
      </c>
      <c r="F40" s="4">
        <v>549600.0</v>
      </c>
      <c r="G40" s="2">
        <f t="shared" si="4"/>
        <v>5550960</v>
      </c>
    </row>
    <row r="41">
      <c r="B41" s="1" t="s">
        <v>41</v>
      </c>
      <c r="C41" s="1" t="s">
        <v>42</v>
      </c>
      <c r="D41" s="1" t="s">
        <v>36</v>
      </c>
      <c r="E41" s="3">
        <v>5.05</v>
      </c>
      <c r="F41" s="4">
        <v>751500.0</v>
      </c>
      <c r="G41" s="2">
        <f t="shared" si="4"/>
        <v>3795075</v>
      </c>
    </row>
    <row r="42">
      <c r="B42" s="1" t="s">
        <v>43</v>
      </c>
      <c r="C42" s="1" t="s">
        <v>44</v>
      </c>
      <c r="D42" s="1" t="s">
        <v>13</v>
      </c>
      <c r="E42" s="3">
        <v>8.0</v>
      </c>
      <c r="F42" s="4">
        <v>114600.0</v>
      </c>
      <c r="G42" s="2">
        <f t="shared" si="4"/>
        <v>916800</v>
      </c>
    </row>
    <row r="43">
      <c r="B43" s="1" t="s">
        <v>51</v>
      </c>
      <c r="C43" s="1" t="s">
        <v>54</v>
      </c>
      <c r="D43" s="1" t="s">
        <v>13</v>
      </c>
      <c r="E43" s="3">
        <v>101.04</v>
      </c>
      <c r="F43" s="4">
        <v>137000.0</v>
      </c>
      <c r="G43" s="2">
        <f t="shared" si="4"/>
        <v>13842480</v>
      </c>
    </row>
    <row r="44">
      <c r="B44" s="1" t="s">
        <v>52</v>
      </c>
      <c r="C44" s="1" t="s">
        <v>49</v>
      </c>
      <c r="D44" s="1" t="s">
        <v>36</v>
      </c>
      <c r="E44" s="3">
        <v>13.14</v>
      </c>
      <c r="F44" s="4">
        <v>1238700.0</v>
      </c>
      <c r="G44" s="2">
        <f t="shared" si="4"/>
        <v>16276518</v>
      </c>
    </row>
    <row r="45">
      <c r="F45" s="4"/>
    </row>
    <row r="46">
      <c r="A46" s="1">
        <v>3.0</v>
      </c>
      <c r="B46" s="1" t="s">
        <v>55</v>
      </c>
      <c r="F46" s="4"/>
      <c r="H46" s="2">
        <f>sum(G48:G89)</f>
        <v>241012067</v>
      </c>
    </row>
    <row r="47">
      <c r="B47" s="1" t="s">
        <v>56</v>
      </c>
      <c r="F47" s="4"/>
    </row>
    <row r="48">
      <c r="B48" s="1" t="s">
        <v>43</v>
      </c>
      <c r="C48" s="1" t="s">
        <v>57</v>
      </c>
      <c r="D48" s="1" t="s">
        <v>13</v>
      </c>
      <c r="E48" s="3">
        <v>23.94</v>
      </c>
      <c r="F48" s="4">
        <v>114600.0</v>
      </c>
      <c r="G48" s="2">
        <f t="shared" ref="G48:G50" si="5">F48*E48</f>
        <v>2743524</v>
      </c>
    </row>
    <row r="49">
      <c r="B49" s="1" t="s">
        <v>45</v>
      </c>
      <c r="C49" s="1" t="s">
        <v>58</v>
      </c>
      <c r="D49" s="1" t="s">
        <v>47</v>
      </c>
      <c r="E49" s="3">
        <v>690.46</v>
      </c>
      <c r="F49" s="4">
        <v>13000.0</v>
      </c>
      <c r="G49" s="2">
        <f t="shared" si="5"/>
        <v>8975980</v>
      </c>
    </row>
    <row r="50">
      <c r="B50" s="1" t="s">
        <v>52</v>
      </c>
      <c r="C50" s="1" t="s">
        <v>59</v>
      </c>
      <c r="D50" s="1" t="s">
        <v>36</v>
      </c>
      <c r="E50" s="3">
        <v>2.46</v>
      </c>
      <c r="F50" s="4">
        <v>1238700.0</v>
      </c>
      <c r="G50" s="2">
        <f t="shared" si="5"/>
        <v>3047202</v>
      </c>
    </row>
    <row r="51">
      <c r="E51" s="5"/>
      <c r="F51" s="4"/>
    </row>
    <row r="52">
      <c r="B52" s="1" t="s">
        <v>60</v>
      </c>
      <c r="E52" s="5"/>
      <c r="F52" s="4"/>
    </row>
    <row r="53">
      <c r="B53" s="1" t="s">
        <v>43</v>
      </c>
      <c r="C53" s="1" t="s">
        <v>61</v>
      </c>
      <c r="D53" s="1" t="s">
        <v>13</v>
      </c>
      <c r="E53" s="3">
        <v>51.85</v>
      </c>
      <c r="F53" s="4">
        <v>114600.0</v>
      </c>
      <c r="G53" s="2">
        <f t="shared" ref="G53:G55" si="6">F53*E53</f>
        <v>5942010</v>
      </c>
    </row>
    <row r="54">
      <c r="B54" s="1" t="s">
        <v>45</v>
      </c>
      <c r="C54" s="1" t="s">
        <v>58</v>
      </c>
      <c r="D54" s="1" t="s">
        <v>47</v>
      </c>
      <c r="E54" s="3">
        <v>1171.45</v>
      </c>
      <c r="F54" s="4">
        <v>13000.0</v>
      </c>
      <c r="G54" s="2">
        <f t="shared" si="6"/>
        <v>15228850</v>
      </c>
    </row>
    <row r="55">
      <c r="B55" s="1" t="s">
        <v>52</v>
      </c>
      <c r="C55" s="1" t="s">
        <v>62</v>
      </c>
      <c r="D55" s="1" t="s">
        <v>36</v>
      </c>
      <c r="E55" s="3">
        <v>6.33</v>
      </c>
      <c r="F55" s="4">
        <v>1238700.0</v>
      </c>
      <c r="G55" s="2">
        <f t="shared" si="6"/>
        <v>7840971</v>
      </c>
    </row>
    <row r="56">
      <c r="E56" s="5"/>
      <c r="F56" s="4"/>
    </row>
    <row r="57">
      <c r="B57" s="1" t="s">
        <v>63</v>
      </c>
      <c r="E57" s="5"/>
      <c r="F57" s="4"/>
    </row>
    <row r="58">
      <c r="B58" s="1" t="s">
        <v>64</v>
      </c>
      <c r="C58" s="1" t="s">
        <v>61</v>
      </c>
      <c r="D58" s="1" t="s">
        <v>13</v>
      </c>
      <c r="E58" s="3">
        <v>3.0</v>
      </c>
      <c r="F58" s="4">
        <v>114600.0</v>
      </c>
      <c r="G58" s="2">
        <f t="shared" ref="G58:G62" si="7">F58*E58</f>
        <v>343800</v>
      </c>
    </row>
    <row r="59">
      <c r="B59" s="1" t="s">
        <v>65</v>
      </c>
      <c r="C59" s="1" t="s">
        <v>66</v>
      </c>
      <c r="D59" s="1" t="s">
        <v>13</v>
      </c>
      <c r="E59" s="3">
        <v>105.04</v>
      </c>
      <c r="F59" s="4">
        <v>198000.0</v>
      </c>
      <c r="G59" s="2">
        <f t="shared" si="7"/>
        <v>20797920</v>
      </c>
    </row>
    <row r="60">
      <c r="B60" s="1" t="s">
        <v>51</v>
      </c>
      <c r="C60" s="1" t="s">
        <v>58</v>
      </c>
      <c r="D60" s="1" t="s">
        <v>47</v>
      </c>
      <c r="E60" s="3">
        <v>380.0</v>
      </c>
      <c r="F60" s="4">
        <v>13000.0</v>
      </c>
      <c r="G60" s="2">
        <f t="shared" si="7"/>
        <v>4940000</v>
      </c>
    </row>
    <row r="61">
      <c r="B61" s="1" t="s">
        <v>51</v>
      </c>
      <c r="C61" s="1" t="s">
        <v>67</v>
      </c>
      <c r="D61" s="1" t="s">
        <v>13</v>
      </c>
      <c r="E61" s="3">
        <v>108.04</v>
      </c>
      <c r="F61" s="4">
        <v>133900.0</v>
      </c>
      <c r="G61" s="2">
        <f t="shared" si="7"/>
        <v>14466556</v>
      </c>
    </row>
    <row r="62">
      <c r="B62" s="1" t="s">
        <v>52</v>
      </c>
      <c r="C62" s="1" t="s">
        <v>59</v>
      </c>
      <c r="D62" s="1" t="s">
        <v>36</v>
      </c>
      <c r="E62" s="3">
        <v>15.63</v>
      </c>
      <c r="F62" s="4">
        <v>1238700.0</v>
      </c>
      <c r="G62" s="2">
        <f t="shared" si="7"/>
        <v>19360881</v>
      </c>
    </row>
    <row r="63">
      <c r="E63" s="5"/>
      <c r="F63" s="4"/>
    </row>
    <row r="64">
      <c r="B64" s="1" t="s">
        <v>68</v>
      </c>
      <c r="E64" s="5"/>
      <c r="F64" s="4"/>
    </row>
    <row r="65">
      <c r="B65" s="1" t="s">
        <v>43</v>
      </c>
      <c r="C65" s="1" t="s">
        <v>57</v>
      </c>
      <c r="D65" s="1" t="s">
        <v>13</v>
      </c>
      <c r="E65" s="3">
        <v>23.94</v>
      </c>
      <c r="F65" s="4">
        <v>114600.0</v>
      </c>
      <c r="G65" s="2">
        <f t="shared" ref="G65:G67" si="8">F65*E65</f>
        <v>2743524</v>
      </c>
    </row>
    <row r="66">
      <c r="B66" s="1" t="s">
        <v>51</v>
      </c>
      <c r="C66" s="1" t="s">
        <v>58</v>
      </c>
      <c r="D66" s="1" t="s">
        <v>47</v>
      </c>
      <c r="E66" s="3">
        <v>690.46</v>
      </c>
      <c r="F66" s="4">
        <v>13000.0</v>
      </c>
      <c r="G66" s="2">
        <f t="shared" si="8"/>
        <v>8975980</v>
      </c>
    </row>
    <row r="67">
      <c r="B67" s="1" t="s">
        <v>52</v>
      </c>
      <c r="C67" s="1" t="s">
        <v>69</v>
      </c>
      <c r="D67" s="1" t="s">
        <v>36</v>
      </c>
      <c r="E67" s="3">
        <v>2.46</v>
      </c>
      <c r="F67" s="4">
        <v>1238700.0</v>
      </c>
      <c r="G67" s="2">
        <f t="shared" si="8"/>
        <v>3047202</v>
      </c>
    </row>
    <row r="68">
      <c r="E68" s="3"/>
      <c r="F68" s="4"/>
    </row>
    <row r="69">
      <c r="B69" s="1" t="s">
        <v>70</v>
      </c>
      <c r="E69" s="3"/>
      <c r="F69" s="4"/>
    </row>
    <row r="70">
      <c r="B70" s="1" t="s">
        <v>43</v>
      </c>
      <c r="C70" s="1" t="s">
        <v>57</v>
      </c>
      <c r="D70" s="1" t="s">
        <v>13</v>
      </c>
      <c r="E70" s="3">
        <v>51.85</v>
      </c>
      <c r="F70" s="4">
        <v>114600.0</v>
      </c>
      <c r="G70" s="2">
        <f t="shared" ref="G70:G72" si="9">F70*E70</f>
        <v>5942010</v>
      </c>
    </row>
    <row r="71">
      <c r="B71" s="1" t="s">
        <v>51</v>
      </c>
      <c r="C71" s="1" t="s">
        <v>58</v>
      </c>
      <c r="D71" s="1" t="s">
        <v>47</v>
      </c>
      <c r="E71" s="3">
        <v>1171.45</v>
      </c>
      <c r="F71" s="4">
        <v>13000.0</v>
      </c>
      <c r="G71" s="2">
        <f t="shared" si="9"/>
        <v>15228850</v>
      </c>
    </row>
    <row r="72">
      <c r="B72" s="1" t="s">
        <v>52</v>
      </c>
      <c r="C72" s="1" t="s">
        <v>59</v>
      </c>
      <c r="D72" s="1" t="s">
        <v>36</v>
      </c>
      <c r="E72" s="3">
        <v>6.33</v>
      </c>
      <c r="F72" s="4">
        <v>1238700.0</v>
      </c>
      <c r="G72" s="2">
        <f t="shared" si="9"/>
        <v>7840971</v>
      </c>
    </row>
    <row r="73">
      <c r="E73" s="3"/>
      <c r="F73" s="4"/>
    </row>
    <row r="74">
      <c r="B74" s="1" t="s">
        <v>76</v>
      </c>
      <c r="E74" s="3"/>
      <c r="F74" s="4"/>
    </row>
    <row r="75">
      <c r="B75" s="1" t="s">
        <v>77</v>
      </c>
      <c r="C75" s="1" t="s">
        <v>57</v>
      </c>
      <c r="D75" s="1" t="s">
        <v>13</v>
      </c>
      <c r="E75" s="3">
        <v>54.88</v>
      </c>
      <c r="F75" s="4">
        <v>114600.0</v>
      </c>
      <c r="G75" s="2">
        <f t="shared" ref="G75:G77" si="10">F75*E75</f>
        <v>6289248</v>
      </c>
    </row>
    <row r="76">
      <c r="B76" s="1" t="s">
        <v>51</v>
      </c>
      <c r="C76" s="1" t="s">
        <v>58</v>
      </c>
      <c r="D76" s="1" t="s">
        <v>47</v>
      </c>
      <c r="E76" s="3">
        <v>1068.12</v>
      </c>
      <c r="F76" s="4">
        <v>13000.0</v>
      </c>
      <c r="G76" s="2">
        <f t="shared" si="10"/>
        <v>13885560</v>
      </c>
    </row>
    <row r="77">
      <c r="B77" s="1" t="s">
        <v>52</v>
      </c>
      <c r="C77" s="1" t="s">
        <v>69</v>
      </c>
      <c r="D77" s="1" t="s">
        <v>36</v>
      </c>
      <c r="E77" s="3">
        <v>6.47</v>
      </c>
      <c r="F77" s="4">
        <v>1238700.0</v>
      </c>
      <c r="G77" s="2">
        <f t="shared" si="10"/>
        <v>8014389</v>
      </c>
    </row>
    <row r="78">
      <c r="E78" s="3"/>
      <c r="F78" s="4"/>
      <c r="I78" s="5" t="str">
        <f t="shared" ref="I78:I79" si="11">E78</f>
        <v/>
      </c>
    </row>
    <row r="79">
      <c r="B79" s="1" t="s">
        <v>78</v>
      </c>
      <c r="E79" s="3"/>
      <c r="F79" s="4"/>
      <c r="I79" s="5" t="str">
        <f t="shared" si="11"/>
        <v/>
      </c>
    </row>
    <row r="80">
      <c r="B80" s="1" t="s">
        <v>73</v>
      </c>
      <c r="C80" s="1" t="s">
        <v>74</v>
      </c>
      <c r="D80" s="1" t="s">
        <v>13</v>
      </c>
      <c r="E80" s="3">
        <v>105.04</v>
      </c>
      <c r="F80" s="4">
        <v>186000.0</v>
      </c>
      <c r="G80" s="2">
        <f t="shared" ref="G80:G83" si="12">F80*E80</f>
        <v>19537440</v>
      </c>
    </row>
    <row r="81">
      <c r="B81" s="1" t="s">
        <v>51</v>
      </c>
      <c r="C81" s="1" t="s">
        <v>46</v>
      </c>
      <c r="D81" s="1" t="s">
        <v>47</v>
      </c>
      <c r="E81" s="3">
        <v>380.0</v>
      </c>
      <c r="F81" s="4">
        <v>13000.0</v>
      </c>
      <c r="G81" s="2">
        <f t="shared" si="12"/>
        <v>4940000</v>
      </c>
    </row>
    <row r="82">
      <c r="B82" s="1" t="s">
        <v>51</v>
      </c>
      <c r="C82" s="1" t="s">
        <v>67</v>
      </c>
      <c r="D82" s="1" t="s">
        <v>13</v>
      </c>
      <c r="E82" s="3">
        <v>108.04</v>
      </c>
      <c r="F82" s="4">
        <v>137000.0</v>
      </c>
      <c r="G82" s="2">
        <f t="shared" si="12"/>
        <v>14801480</v>
      </c>
    </row>
    <row r="83">
      <c r="B83" s="1" t="s">
        <v>52</v>
      </c>
      <c r="C83" s="1" t="s">
        <v>69</v>
      </c>
      <c r="D83" s="1" t="s">
        <v>36</v>
      </c>
      <c r="E83" s="3">
        <v>15.63</v>
      </c>
      <c r="F83" s="4">
        <v>1238700.0</v>
      </c>
      <c r="G83" s="2">
        <f t="shared" si="12"/>
        <v>19360881</v>
      </c>
    </row>
    <row r="84">
      <c r="E84" s="3"/>
      <c r="F84" s="4"/>
      <c r="I84" s="5" t="str">
        <f>E84</f>
        <v/>
      </c>
    </row>
    <row r="85">
      <c r="E85" s="3"/>
      <c r="F85" s="4"/>
    </row>
    <row r="86">
      <c r="B86" s="1" t="s">
        <v>85</v>
      </c>
      <c r="E86" s="3"/>
      <c r="F86" s="4"/>
    </row>
    <row r="87">
      <c r="B87" s="1" t="s">
        <v>86</v>
      </c>
      <c r="C87" s="1" t="s">
        <v>57</v>
      </c>
      <c r="D87" s="1" t="s">
        <v>13</v>
      </c>
      <c r="E87" s="1">
        <v>17.61</v>
      </c>
      <c r="F87" s="4">
        <v>114600.0</v>
      </c>
      <c r="G87" s="2">
        <f t="shared" ref="G87:G89" si="13">F87*E87</f>
        <v>2018106</v>
      </c>
    </row>
    <row r="88">
      <c r="B88" s="1" t="s">
        <v>51</v>
      </c>
      <c r="C88" s="1" t="s">
        <v>58</v>
      </c>
      <c r="D88" s="1" t="s">
        <v>47</v>
      </c>
      <c r="E88" s="1">
        <v>193.74</v>
      </c>
      <c r="F88" s="4">
        <v>13000.0</v>
      </c>
      <c r="G88" s="2">
        <f t="shared" si="13"/>
        <v>2518620</v>
      </c>
    </row>
    <row r="89">
      <c r="B89" s="1" t="s">
        <v>52</v>
      </c>
      <c r="C89" s="1" t="s">
        <v>88</v>
      </c>
      <c r="D89" s="1" t="s">
        <v>36</v>
      </c>
      <c r="E89" s="1">
        <v>1.76</v>
      </c>
      <c r="F89" s="4">
        <v>1238700.0</v>
      </c>
      <c r="G89" s="2">
        <f t="shared" si="13"/>
        <v>2180112</v>
      </c>
    </row>
    <row r="90">
      <c r="E90" s="3"/>
      <c r="F90" s="4"/>
    </row>
    <row r="91">
      <c r="A91" s="1" t="s">
        <v>89</v>
      </c>
      <c r="B91" s="1" t="s">
        <v>90</v>
      </c>
      <c r="E91" s="3"/>
      <c r="F91" s="4"/>
      <c r="H91" s="2">
        <f>sum(G93:G158)</f>
        <v>372282238</v>
      </c>
    </row>
    <row r="92">
      <c r="B92" s="1" t="s">
        <v>91</v>
      </c>
      <c r="E92" s="3"/>
      <c r="F92" s="4"/>
    </row>
    <row r="93">
      <c r="B93" s="1" t="s">
        <v>95</v>
      </c>
      <c r="C93" s="1" t="s">
        <v>96</v>
      </c>
      <c r="D93" s="1" t="s">
        <v>13</v>
      </c>
      <c r="E93" s="1">
        <v>307.05</v>
      </c>
      <c r="F93" s="4">
        <v>137300.0</v>
      </c>
      <c r="G93" s="2">
        <f t="shared" ref="G93:G99" si="14">F93*E93</f>
        <v>42157965</v>
      </c>
    </row>
    <row r="94">
      <c r="B94" s="1" t="s">
        <v>99</v>
      </c>
      <c r="C94" s="1" t="s">
        <v>100</v>
      </c>
      <c r="D94" s="1" t="s">
        <v>13</v>
      </c>
      <c r="E94" s="1">
        <v>614.1</v>
      </c>
      <c r="F94" s="4">
        <v>49200.0</v>
      </c>
      <c r="G94" s="2">
        <f t="shared" si="14"/>
        <v>30213720</v>
      </c>
    </row>
    <row r="95">
      <c r="B95" s="1" t="s">
        <v>102</v>
      </c>
      <c r="C95" s="1" t="s">
        <v>100</v>
      </c>
      <c r="D95" s="1" t="s">
        <v>13</v>
      </c>
      <c r="E95" s="1">
        <v>614.1</v>
      </c>
      <c r="F95" s="4">
        <v>22600.0</v>
      </c>
      <c r="G95" s="2">
        <f t="shared" si="14"/>
        <v>13878660</v>
      </c>
    </row>
    <row r="96">
      <c r="B96" s="1" t="s">
        <v>103</v>
      </c>
      <c r="D96" s="1" t="s">
        <v>13</v>
      </c>
      <c r="E96" s="1">
        <v>405.04</v>
      </c>
      <c r="F96" s="4">
        <v>21600.0</v>
      </c>
      <c r="G96" s="2">
        <f t="shared" si="14"/>
        <v>8748864</v>
      </c>
    </row>
    <row r="97">
      <c r="B97" s="1" t="s">
        <v>222</v>
      </c>
      <c r="C97" s="1" t="s">
        <v>223</v>
      </c>
      <c r="D97" s="1" t="s">
        <v>13</v>
      </c>
      <c r="E97" s="3">
        <v>120.46</v>
      </c>
      <c r="F97" s="4">
        <v>230000.0</v>
      </c>
      <c r="G97" s="2">
        <f t="shared" si="14"/>
        <v>27705800</v>
      </c>
    </row>
    <row r="98">
      <c r="B98" s="1" t="s">
        <v>104</v>
      </c>
      <c r="D98" s="1" t="s">
        <v>13</v>
      </c>
      <c r="E98" s="1">
        <v>95.33</v>
      </c>
      <c r="F98" s="4">
        <v>30000.0</v>
      </c>
      <c r="G98" s="2">
        <f t="shared" si="14"/>
        <v>2859900</v>
      </c>
    </row>
    <row r="99">
      <c r="B99" s="1" t="s">
        <v>105</v>
      </c>
      <c r="D99" s="1" t="s">
        <v>13</v>
      </c>
      <c r="E99" s="1">
        <v>37.56</v>
      </c>
      <c r="F99" s="4">
        <v>281000.0</v>
      </c>
      <c r="G99" s="2">
        <f t="shared" si="14"/>
        <v>10554360</v>
      </c>
    </row>
    <row r="100">
      <c r="B100" s="1" t="s">
        <v>106</v>
      </c>
      <c r="E100" s="3"/>
      <c r="F100" s="4"/>
    </row>
    <row r="101">
      <c r="E101" s="3"/>
      <c r="F101" s="4"/>
    </row>
    <row r="102">
      <c r="B102" s="1" t="s">
        <v>107</v>
      </c>
      <c r="E102" s="3"/>
      <c r="F102" s="4"/>
    </row>
    <row r="103">
      <c r="B103" s="1" t="s">
        <v>108</v>
      </c>
      <c r="D103" s="1" t="s">
        <v>13</v>
      </c>
      <c r="E103" s="1">
        <v>267.6</v>
      </c>
      <c r="F103" s="4">
        <v>46200.0</v>
      </c>
      <c r="G103" s="2">
        <f t="shared" ref="G103:G108" si="15">F103*E103</f>
        <v>12363120</v>
      </c>
    </row>
    <row r="104">
      <c r="B104" s="1" t="s">
        <v>109</v>
      </c>
      <c r="C104" s="1" t="s">
        <v>110</v>
      </c>
      <c r="D104" s="1" t="s">
        <v>13</v>
      </c>
      <c r="E104" s="1">
        <v>164.08</v>
      </c>
      <c r="F104" s="4">
        <v>286300.0</v>
      </c>
      <c r="G104" s="2">
        <f t="shared" si="15"/>
        <v>46976104</v>
      </c>
    </row>
    <row r="105">
      <c r="B105" s="1" t="s">
        <v>111</v>
      </c>
      <c r="C105" s="1" t="s">
        <v>110</v>
      </c>
      <c r="D105" s="1" t="s">
        <v>13</v>
      </c>
      <c r="E105" s="1">
        <v>7.03</v>
      </c>
      <c r="F105" s="4">
        <v>286300.0</v>
      </c>
      <c r="G105" s="2">
        <f t="shared" si="15"/>
        <v>2012689</v>
      </c>
    </row>
    <row r="106">
      <c r="B106" s="1" t="s">
        <v>112</v>
      </c>
      <c r="C106" s="1" t="s">
        <v>113</v>
      </c>
      <c r="D106" s="1" t="s">
        <v>13</v>
      </c>
      <c r="E106" s="1">
        <v>22.01</v>
      </c>
      <c r="F106" s="4">
        <v>267600.0</v>
      </c>
      <c r="G106" s="2">
        <f t="shared" si="15"/>
        <v>5889876</v>
      </c>
    </row>
    <row r="107">
      <c r="B107" s="1" t="s">
        <v>114</v>
      </c>
      <c r="C107" s="1" t="s">
        <v>115</v>
      </c>
      <c r="D107" s="1" t="s">
        <v>13</v>
      </c>
      <c r="E107" s="1">
        <v>69.66</v>
      </c>
      <c r="F107" s="4">
        <v>108000.0</v>
      </c>
      <c r="G107" s="2">
        <f t="shared" si="15"/>
        <v>7523280</v>
      </c>
    </row>
    <row r="108">
      <c r="B108" s="1" t="s">
        <v>116</v>
      </c>
      <c r="C108" s="1" t="s">
        <v>117</v>
      </c>
      <c r="D108" s="1" t="s">
        <v>13</v>
      </c>
      <c r="E108" s="1">
        <v>11.11</v>
      </c>
      <c r="F108" s="4">
        <v>540000.0</v>
      </c>
      <c r="G108" s="2">
        <f t="shared" si="15"/>
        <v>5999400</v>
      </c>
    </row>
    <row r="109">
      <c r="E109" s="3"/>
      <c r="F109" s="4"/>
    </row>
    <row r="110">
      <c r="B110" s="1" t="s">
        <v>118</v>
      </c>
      <c r="E110" s="3"/>
      <c r="F110" s="4"/>
    </row>
    <row r="111">
      <c r="B111" s="1" t="s">
        <v>108</v>
      </c>
      <c r="D111" s="1" t="s">
        <v>13</v>
      </c>
      <c r="E111" s="1">
        <v>21.32</v>
      </c>
      <c r="F111" s="4">
        <v>46200.0</v>
      </c>
      <c r="G111" s="2">
        <f t="shared" ref="G111:G113" si="16">F111*E111</f>
        <v>984984</v>
      </c>
    </row>
    <row r="112">
      <c r="B112" s="1" t="s">
        <v>119</v>
      </c>
      <c r="C112" s="1" t="s">
        <v>120</v>
      </c>
      <c r="D112" s="1" t="s">
        <v>13</v>
      </c>
      <c r="E112" s="1">
        <v>21.32</v>
      </c>
      <c r="F112" s="4">
        <v>335000.0</v>
      </c>
      <c r="G112" s="2">
        <f t="shared" si="16"/>
        <v>7142200</v>
      </c>
    </row>
    <row r="113">
      <c r="B113" s="1" t="s">
        <v>121</v>
      </c>
      <c r="D113" s="1" t="s">
        <v>11</v>
      </c>
      <c r="E113" s="1">
        <v>10.88</v>
      </c>
      <c r="F113" s="4">
        <v>660000.0</v>
      </c>
      <c r="G113" s="2">
        <f t="shared" si="16"/>
        <v>7180800</v>
      </c>
    </row>
    <row r="114">
      <c r="F114" s="4"/>
    </row>
    <row r="115">
      <c r="B115" s="1" t="s">
        <v>122</v>
      </c>
      <c r="F115" s="4"/>
    </row>
    <row r="116">
      <c r="B116" s="1" t="s">
        <v>123</v>
      </c>
      <c r="C116" s="1" t="s">
        <v>124</v>
      </c>
      <c r="D116" s="1" t="s">
        <v>13</v>
      </c>
      <c r="E116" s="1">
        <v>240.01</v>
      </c>
      <c r="F116" s="4">
        <v>114000.0</v>
      </c>
      <c r="G116" s="2">
        <f t="shared" ref="G116:G121" si="17">F116*E116</f>
        <v>27361140</v>
      </c>
    </row>
    <row r="117">
      <c r="B117" s="1" t="s">
        <v>125</v>
      </c>
      <c r="C117" s="1" t="s">
        <v>126</v>
      </c>
      <c r="D117" s="1" t="s">
        <v>13</v>
      </c>
      <c r="E117" s="1">
        <v>35.71</v>
      </c>
      <c r="F117" s="4">
        <v>132000.0</v>
      </c>
      <c r="G117" s="2">
        <f t="shared" si="17"/>
        <v>4713720</v>
      </c>
    </row>
    <row r="118">
      <c r="B118" s="1" t="s">
        <v>127</v>
      </c>
      <c r="C118" s="1" t="s">
        <v>128</v>
      </c>
      <c r="D118" s="1" t="s">
        <v>13</v>
      </c>
      <c r="E118" s="1">
        <v>18.22</v>
      </c>
      <c r="F118" s="4">
        <v>24000.0</v>
      </c>
      <c r="G118" s="2">
        <f t="shared" si="17"/>
        <v>437280</v>
      </c>
    </row>
    <row r="119">
      <c r="B119" s="1" t="s">
        <v>129</v>
      </c>
      <c r="D119" s="1" t="s">
        <v>11</v>
      </c>
      <c r="E119" s="1">
        <v>105.76</v>
      </c>
      <c r="F119" s="4">
        <v>19800.0</v>
      </c>
      <c r="G119" s="2">
        <f t="shared" si="17"/>
        <v>2094048</v>
      </c>
    </row>
    <row r="120">
      <c r="B120" s="1" t="s">
        <v>130</v>
      </c>
      <c r="C120" s="1" t="s">
        <v>131</v>
      </c>
      <c r="D120" s="1" t="s">
        <v>13</v>
      </c>
      <c r="E120" s="1">
        <v>6.84</v>
      </c>
      <c r="F120" s="4">
        <v>132000.0</v>
      </c>
      <c r="G120" s="2">
        <f t="shared" si="17"/>
        <v>902880</v>
      </c>
    </row>
    <row r="121">
      <c r="B121" s="1" t="s">
        <v>132</v>
      </c>
      <c r="D121" s="1" t="s">
        <v>13</v>
      </c>
      <c r="E121" s="1">
        <v>300.78</v>
      </c>
      <c r="F121" s="4">
        <v>21600.0</v>
      </c>
      <c r="G121" s="2">
        <f t="shared" si="17"/>
        <v>6496848</v>
      </c>
    </row>
    <row r="122">
      <c r="E122" s="3"/>
      <c r="F122" s="4"/>
    </row>
    <row r="123">
      <c r="B123" s="1" t="s">
        <v>133</v>
      </c>
      <c r="E123" s="3"/>
      <c r="F123" s="4"/>
    </row>
    <row r="124">
      <c r="B124" s="1" t="s">
        <v>134</v>
      </c>
      <c r="C124" s="1" t="s">
        <v>135</v>
      </c>
      <c r="D124" s="1" t="s">
        <v>24</v>
      </c>
      <c r="E124" s="3">
        <v>1.0</v>
      </c>
      <c r="F124" s="4">
        <v>1.57848E7</v>
      </c>
      <c r="G124" s="2">
        <f>F124*E124</f>
        <v>15784800</v>
      </c>
    </row>
    <row r="125">
      <c r="C125" s="1" t="s">
        <v>136</v>
      </c>
      <c r="E125" s="3"/>
      <c r="F125" s="4"/>
    </row>
    <row r="126">
      <c r="C126" s="1" t="s">
        <v>137</v>
      </c>
      <c r="E126" s="3"/>
      <c r="F126" s="4"/>
    </row>
    <row r="127">
      <c r="C127" s="1" t="s">
        <v>138</v>
      </c>
      <c r="E127" s="3"/>
      <c r="F127" s="4"/>
    </row>
    <row r="128">
      <c r="C128" s="1" t="s">
        <v>139</v>
      </c>
      <c r="E128" s="3"/>
      <c r="F128" s="4"/>
    </row>
    <row r="129">
      <c r="E129" s="3"/>
      <c r="F129" s="4"/>
    </row>
    <row r="130">
      <c r="E130" s="3"/>
      <c r="F130" s="4"/>
    </row>
    <row r="131">
      <c r="B131" s="1" t="s">
        <v>140</v>
      </c>
      <c r="C131" s="1" t="s">
        <v>141</v>
      </c>
      <c r="D131" s="1" t="s">
        <v>13</v>
      </c>
      <c r="E131" s="3">
        <v>19.2</v>
      </c>
      <c r="F131" s="4">
        <v>1440000.0</v>
      </c>
      <c r="G131" s="2">
        <f>F131*E131</f>
        <v>27648000</v>
      </c>
    </row>
    <row r="132">
      <c r="C132" s="1" t="s">
        <v>142</v>
      </c>
      <c r="E132" s="3"/>
      <c r="F132" s="4"/>
    </row>
    <row r="133">
      <c r="E133" s="3"/>
      <c r="F133" s="4"/>
    </row>
    <row r="134">
      <c r="B134" s="1" t="s">
        <v>140</v>
      </c>
      <c r="C134" s="1" t="s">
        <v>141</v>
      </c>
      <c r="D134" s="1" t="s">
        <v>13</v>
      </c>
      <c r="E134" s="3">
        <v>12.84</v>
      </c>
      <c r="F134" s="4">
        <v>1440000.0</v>
      </c>
      <c r="G134" s="2">
        <f>F134*E134</f>
        <v>18489600</v>
      </c>
    </row>
    <row r="135">
      <c r="C135" s="1" t="s">
        <v>142</v>
      </c>
      <c r="E135" s="3"/>
      <c r="F135" s="4"/>
    </row>
    <row r="136">
      <c r="E136" s="3"/>
      <c r="F136" s="4"/>
    </row>
    <row r="137">
      <c r="B137" s="1" t="s">
        <v>143</v>
      </c>
      <c r="C137" s="1" t="s">
        <v>135</v>
      </c>
      <c r="D137" s="1" t="s">
        <v>24</v>
      </c>
      <c r="E137" s="3">
        <v>1.0</v>
      </c>
      <c r="F137" s="4">
        <v>5980200.0</v>
      </c>
      <c r="G137" s="2">
        <f>F137*E137</f>
        <v>5980200</v>
      </c>
    </row>
    <row r="138">
      <c r="C138" s="1" t="s">
        <v>144</v>
      </c>
      <c r="E138" s="3"/>
      <c r="F138" s="4"/>
    </row>
    <row r="139">
      <c r="C139" s="1" t="s">
        <v>145</v>
      </c>
      <c r="E139" s="3"/>
      <c r="F139" s="4"/>
    </row>
    <row r="140">
      <c r="C140" s="1" t="s">
        <v>146</v>
      </c>
      <c r="E140" s="3"/>
      <c r="F140" s="4"/>
    </row>
    <row r="141">
      <c r="C141" s="1" t="s">
        <v>147</v>
      </c>
      <c r="E141" s="3"/>
      <c r="F141" s="4"/>
    </row>
    <row r="142">
      <c r="E142" s="3"/>
      <c r="F142" s="4"/>
    </row>
    <row r="143">
      <c r="B143" s="1" t="s">
        <v>148</v>
      </c>
      <c r="C143" s="1" t="s">
        <v>135</v>
      </c>
      <c r="D143" s="1" t="s">
        <v>24</v>
      </c>
      <c r="E143" s="3">
        <v>1.0</v>
      </c>
      <c r="F143" s="4">
        <v>5837600.0</v>
      </c>
      <c r="G143" s="2">
        <f>F143*E143</f>
        <v>5837600</v>
      </c>
    </row>
    <row r="144">
      <c r="C144" s="1" t="s">
        <v>149</v>
      </c>
      <c r="E144" s="3"/>
      <c r="F144" s="4"/>
    </row>
    <row r="145">
      <c r="C145" s="1" t="s">
        <v>146</v>
      </c>
      <c r="E145" s="3"/>
      <c r="F145" s="4"/>
    </row>
    <row r="146">
      <c r="E146" s="3"/>
      <c r="F146" s="4"/>
    </row>
    <row r="147">
      <c r="B147" s="1" t="s">
        <v>150</v>
      </c>
      <c r="C147" s="1" t="s">
        <v>135</v>
      </c>
      <c r="D147" s="1" t="s">
        <v>24</v>
      </c>
      <c r="E147" s="3">
        <v>1.0</v>
      </c>
      <c r="F147" s="4">
        <v>5418500.0</v>
      </c>
      <c r="G147" s="2">
        <f>F147*E147</f>
        <v>5418500</v>
      </c>
    </row>
    <row r="148">
      <c r="C148" s="1" t="s">
        <v>149</v>
      </c>
      <c r="E148" s="3"/>
      <c r="F148" s="4"/>
    </row>
    <row r="149">
      <c r="C149" s="1" t="s">
        <v>146</v>
      </c>
      <c r="E149" s="3"/>
      <c r="F149" s="4"/>
    </row>
    <row r="150">
      <c r="E150" s="3"/>
      <c r="F150" s="4"/>
    </row>
    <row r="151">
      <c r="B151" s="1" t="s">
        <v>151</v>
      </c>
      <c r="C151" s="1" t="s">
        <v>135</v>
      </c>
      <c r="D151" s="1" t="s">
        <v>24</v>
      </c>
      <c r="E151" s="3">
        <v>1.0</v>
      </c>
      <c r="F151" s="4">
        <v>8089400.0</v>
      </c>
      <c r="G151" s="2">
        <f>F151*E151</f>
        <v>8089400</v>
      </c>
    </row>
    <row r="152">
      <c r="C152" s="1" t="s">
        <v>149</v>
      </c>
    </row>
    <row r="153">
      <c r="C153" s="1" t="s">
        <v>146</v>
      </c>
    </row>
    <row r="155">
      <c r="B155" s="1" t="s">
        <v>152</v>
      </c>
    </row>
    <row r="156">
      <c r="B156" s="1" t="s">
        <v>153</v>
      </c>
      <c r="C156" s="1" t="s">
        <v>154</v>
      </c>
      <c r="D156" s="1" t="s">
        <v>24</v>
      </c>
      <c r="E156" s="3">
        <v>3.0</v>
      </c>
      <c r="F156" s="4">
        <v>1647100.0</v>
      </c>
      <c r="G156" s="2">
        <f t="shared" ref="G156:G158" si="18">F156*E156</f>
        <v>4941300</v>
      </c>
    </row>
    <row r="157">
      <c r="B157" s="1" t="s">
        <v>155</v>
      </c>
      <c r="C157" s="1" t="s">
        <v>156</v>
      </c>
      <c r="D157" s="1" t="s">
        <v>24</v>
      </c>
      <c r="E157" s="3">
        <v>2.0</v>
      </c>
      <c r="F157" s="4">
        <v>1352900.0</v>
      </c>
      <c r="G157" s="2">
        <f t="shared" si="18"/>
        <v>2705800</v>
      </c>
    </row>
    <row r="158">
      <c r="B158" s="1" t="s">
        <v>157</v>
      </c>
      <c r="C158" s="1" t="s">
        <v>154</v>
      </c>
      <c r="D158" s="1" t="s">
        <v>24</v>
      </c>
      <c r="E158" s="3">
        <v>1.0</v>
      </c>
      <c r="F158" s="4">
        <v>3189400.0</v>
      </c>
      <c r="G158" s="2">
        <f t="shared" si="18"/>
        <v>3189400</v>
      </c>
    </row>
    <row r="159">
      <c r="E159" s="3"/>
      <c r="F159" s="4"/>
    </row>
    <row r="160">
      <c r="B160" s="1" t="s">
        <v>158</v>
      </c>
      <c r="E160" s="3"/>
      <c r="F160" s="4"/>
      <c r="H160" s="2">
        <f>sum(G162:G183)</f>
        <v>49456405</v>
      </c>
    </row>
    <row r="161">
      <c r="B161" s="1" t="s">
        <v>159</v>
      </c>
      <c r="E161" s="3"/>
      <c r="F161" s="4"/>
    </row>
    <row r="162">
      <c r="B162" s="1" t="s">
        <v>160</v>
      </c>
      <c r="C162" s="1" t="s">
        <v>161</v>
      </c>
      <c r="D162" s="1" t="s">
        <v>11</v>
      </c>
      <c r="E162" s="1">
        <v>29.36</v>
      </c>
      <c r="F162" s="4">
        <v>36100.0</v>
      </c>
      <c r="G162" s="2">
        <f t="shared" ref="G162:G171" si="19">F162*E162</f>
        <v>1059896</v>
      </c>
    </row>
    <row r="163">
      <c r="B163" s="1" t="s">
        <v>162</v>
      </c>
      <c r="C163" s="1" t="s">
        <v>163</v>
      </c>
      <c r="D163" s="1" t="s">
        <v>11</v>
      </c>
      <c r="E163" s="1">
        <v>24.56</v>
      </c>
      <c r="F163" s="4">
        <v>177000.0</v>
      </c>
      <c r="G163" s="2">
        <f t="shared" si="19"/>
        <v>4347120</v>
      </c>
    </row>
    <row r="164">
      <c r="B164" s="1" t="s">
        <v>164</v>
      </c>
      <c r="C164" s="1" t="s">
        <v>165</v>
      </c>
      <c r="D164" s="1" t="s">
        <v>11</v>
      </c>
      <c r="E164" s="1">
        <v>14.93</v>
      </c>
      <c r="F164" s="4">
        <v>47700.0</v>
      </c>
      <c r="G164" s="2">
        <f t="shared" si="19"/>
        <v>712161</v>
      </c>
    </row>
    <row r="165">
      <c r="B165" s="1" t="s">
        <v>166</v>
      </c>
      <c r="C165" s="1" t="s">
        <v>167</v>
      </c>
      <c r="D165" s="1" t="s">
        <v>11</v>
      </c>
      <c r="E165" s="1">
        <v>24.56</v>
      </c>
      <c r="F165" s="4">
        <v>74300.0</v>
      </c>
      <c r="G165" s="2">
        <f t="shared" si="19"/>
        <v>1824808</v>
      </c>
    </row>
    <row r="166">
      <c r="B166" s="1" t="s">
        <v>168</v>
      </c>
      <c r="C166" s="1" t="s">
        <v>163</v>
      </c>
      <c r="D166" s="1" t="s">
        <v>11</v>
      </c>
      <c r="E166" s="1">
        <v>37.86</v>
      </c>
      <c r="F166" s="4">
        <v>177000.0</v>
      </c>
      <c r="G166" s="2">
        <f t="shared" si="19"/>
        <v>6701220</v>
      </c>
    </row>
    <row r="167">
      <c r="B167" s="1" t="s">
        <v>169</v>
      </c>
      <c r="D167" s="1" t="s">
        <v>21</v>
      </c>
      <c r="E167" s="3">
        <v>1.0</v>
      </c>
      <c r="F167" s="4">
        <v>4597700.0</v>
      </c>
      <c r="G167" s="2">
        <f t="shared" si="19"/>
        <v>4597700</v>
      </c>
    </row>
    <row r="168">
      <c r="B168" s="1" t="s">
        <v>170</v>
      </c>
      <c r="D168" s="1" t="s">
        <v>21</v>
      </c>
      <c r="E168" s="3">
        <v>1.0</v>
      </c>
      <c r="F168" s="4">
        <v>5172400.0</v>
      </c>
      <c r="G168" s="2">
        <f t="shared" si="19"/>
        <v>5172400</v>
      </c>
    </row>
    <row r="169">
      <c r="B169" s="1" t="s">
        <v>171</v>
      </c>
      <c r="C169" s="1" t="s">
        <v>172</v>
      </c>
      <c r="D169" s="1" t="s">
        <v>24</v>
      </c>
      <c r="E169" s="3">
        <v>6.0</v>
      </c>
      <c r="F169" s="4">
        <v>316100.0</v>
      </c>
      <c r="G169" s="2">
        <f t="shared" si="19"/>
        <v>1896600</v>
      </c>
    </row>
    <row r="170">
      <c r="B170" s="1" t="s">
        <v>173</v>
      </c>
      <c r="C170" s="1" t="s">
        <v>172</v>
      </c>
      <c r="D170" s="1" t="s">
        <v>24</v>
      </c>
      <c r="E170" s="3">
        <v>6.0</v>
      </c>
      <c r="F170" s="4">
        <v>316100.0</v>
      </c>
      <c r="G170" s="2">
        <f t="shared" si="19"/>
        <v>1896600</v>
      </c>
    </row>
    <row r="171">
      <c r="B171" s="1" t="s">
        <v>174</v>
      </c>
      <c r="C171" s="1" t="s">
        <v>175</v>
      </c>
      <c r="D171" s="1" t="s">
        <v>24</v>
      </c>
      <c r="E171" s="3">
        <v>7.0</v>
      </c>
      <c r="F171" s="4">
        <v>201100.0</v>
      </c>
      <c r="G171" s="2">
        <f t="shared" si="19"/>
        <v>1407700</v>
      </c>
    </row>
    <row r="172">
      <c r="E172" s="3"/>
      <c r="F172" s="4"/>
    </row>
    <row r="173">
      <c r="B173" s="1" t="s">
        <v>176</v>
      </c>
      <c r="E173" s="3"/>
      <c r="F173" s="4"/>
    </row>
    <row r="174">
      <c r="B174" s="1" t="s">
        <v>177</v>
      </c>
      <c r="C174" s="1" t="s">
        <v>178</v>
      </c>
      <c r="D174" s="1" t="s">
        <v>24</v>
      </c>
      <c r="E174" s="3">
        <v>2.0</v>
      </c>
      <c r="F174" s="4">
        <v>2592700.0</v>
      </c>
      <c r="G174" s="2">
        <f t="shared" ref="G174:G178" si="20">F174*E174</f>
        <v>5185400</v>
      </c>
    </row>
    <row r="175">
      <c r="B175" s="1" t="s">
        <v>180</v>
      </c>
      <c r="C175" s="1" t="s">
        <v>181</v>
      </c>
      <c r="D175" s="1" t="s">
        <v>24</v>
      </c>
      <c r="E175" s="3">
        <v>2.0</v>
      </c>
      <c r="F175" s="4">
        <v>263200.0</v>
      </c>
      <c r="G175" s="2">
        <f t="shared" si="20"/>
        <v>526400</v>
      </c>
    </row>
    <row r="176">
      <c r="B176" s="1" t="s">
        <v>182</v>
      </c>
      <c r="C176" s="1" t="s">
        <v>183</v>
      </c>
      <c r="D176" s="1" t="s">
        <v>24</v>
      </c>
      <c r="E176" s="3">
        <v>2.0</v>
      </c>
      <c r="F176" s="4">
        <v>1424400.0</v>
      </c>
      <c r="G176" s="2">
        <f t="shared" si="20"/>
        <v>2848800</v>
      </c>
    </row>
    <row r="177">
      <c r="B177" s="1" t="s">
        <v>184</v>
      </c>
      <c r="C177" s="1" t="s">
        <v>185</v>
      </c>
      <c r="D177" s="1" t="s">
        <v>24</v>
      </c>
      <c r="E177" s="3">
        <v>2.0</v>
      </c>
      <c r="F177" s="4">
        <v>363500.0</v>
      </c>
      <c r="G177" s="2">
        <f t="shared" si="20"/>
        <v>727000</v>
      </c>
    </row>
    <row r="178">
      <c r="B178" s="1" t="s">
        <v>186</v>
      </c>
      <c r="C178" s="1" t="s">
        <v>187</v>
      </c>
      <c r="D178" s="1" t="s">
        <v>24</v>
      </c>
      <c r="E178" s="3">
        <v>2.0</v>
      </c>
      <c r="F178" s="4">
        <v>276300.0</v>
      </c>
      <c r="G178" s="2">
        <f t="shared" si="20"/>
        <v>552600</v>
      </c>
    </row>
    <row r="179">
      <c r="E179" s="3"/>
      <c r="F179" s="4"/>
    </row>
    <row r="180">
      <c r="B180" s="1" t="s">
        <v>188</v>
      </c>
      <c r="E180" s="3"/>
      <c r="F180" s="4"/>
    </row>
    <row r="181">
      <c r="B181" s="1" t="s">
        <v>189</v>
      </c>
      <c r="C181" s="1" t="s">
        <v>190</v>
      </c>
      <c r="D181" s="1" t="s">
        <v>24</v>
      </c>
      <c r="E181" s="3">
        <v>1.0</v>
      </c>
      <c r="F181" s="4">
        <v>3620700.0</v>
      </c>
      <c r="G181" s="2">
        <f t="shared" ref="G181:G183" si="21">F181*E181</f>
        <v>3620700</v>
      </c>
    </row>
    <row r="182">
      <c r="B182" s="1" t="s">
        <v>191</v>
      </c>
      <c r="C182" s="1" t="s">
        <v>192</v>
      </c>
      <c r="D182" s="1" t="s">
        <v>24</v>
      </c>
      <c r="E182" s="3">
        <v>1.0</v>
      </c>
      <c r="F182" s="4">
        <v>2183900.0</v>
      </c>
      <c r="G182" s="2">
        <f t="shared" si="21"/>
        <v>2183900</v>
      </c>
    </row>
    <row r="183">
      <c r="B183" s="1" t="s">
        <v>193</v>
      </c>
      <c r="C183" s="1" t="s">
        <v>194</v>
      </c>
      <c r="D183" s="1" t="s">
        <v>24</v>
      </c>
      <c r="E183" s="3">
        <v>1.0</v>
      </c>
      <c r="F183" s="4">
        <v>4195400.0</v>
      </c>
      <c r="G183" s="2">
        <f t="shared" si="21"/>
        <v>4195400</v>
      </c>
    </row>
    <row r="184">
      <c r="E184" s="3"/>
      <c r="F184" s="4"/>
    </row>
    <row r="185">
      <c r="B185" s="1" t="s">
        <v>195</v>
      </c>
      <c r="E185" s="3"/>
      <c r="F185" s="4"/>
      <c r="H185" s="2">
        <f>sum(G187:G202)</f>
        <v>28960019</v>
      </c>
    </row>
    <row r="186">
      <c r="B186" s="1" t="s">
        <v>159</v>
      </c>
      <c r="E186" s="3"/>
      <c r="F186" s="4"/>
    </row>
    <row r="187">
      <c r="B187" s="1" t="s">
        <v>196</v>
      </c>
      <c r="C187" s="1" t="s">
        <v>197</v>
      </c>
      <c r="D187" s="1" t="s">
        <v>32</v>
      </c>
      <c r="E187" s="1">
        <v>51.33</v>
      </c>
      <c r="F187" s="4">
        <v>213800.0</v>
      </c>
      <c r="G187" s="2">
        <f t="shared" ref="G187:G189" si="22">F187*E187</f>
        <v>10974354</v>
      </c>
    </row>
    <row r="188">
      <c r="B188" s="1" t="s">
        <v>199</v>
      </c>
      <c r="C188" s="1" t="s">
        <v>197</v>
      </c>
      <c r="D188" s="1" t="s">
        <v>32</v>
      </c>
      <c r="E188" s="1">
        <v>10.0</v>
      </c>
      <c r="F188" s="4">
        <v>248300.0</v>
      </c>
      <c r="G188" s="2">
        <f t="shared" si="22"/>
        <v>2483000</v>
      </c>
    </row>
    <row r="189">
      <c r="B189" s="1" t="s">
        <v>200</v>
      </c>
      <c r="C189" s="1" t="s">
        <v>197</v>
      </c>
      <c r="D189" s="1" t="s">
        <v>32</v>
      </c>
      <c r="E189" s="1">
        <v>4.0</v>
      </c>
      <c r="F189" s="4">
        <v>248300.0</v>
      </c>
      <c r="G189" s="2">
        <f t="shared" si="22"/>
        <v>993200</v>
      </c>
    </row>
    <row r="190">
      <c r="E190" s="3"/>
      <c r="F190" s="4"/>
    </row>
    <row r="191">
      <c r="B191" s="1" t="s">
        <v>201</v>
      </c>
      <c r="E191" s="3"/>
      <c r="F191" s="4"/>
    </row>
    <row r="192">
      <c r="B192" s="1" t="s">
        <v>202</v>
      </c>
      <c r="C192" s="1" t="s">
        <v>203</v>
      </c>
      <c r="D192" s="1" t="s">
        <v>24</v>
      </c>
      <c r="E192" s="1">
        <v>51.33</v>
      </c>
      <c r="F192" s="4">
        <v>133300.0</v>
      </c>
      <c r="G192" s="2">
        <f t="shared" ref="G192:G196" si="23">F192*E192</f>
        <v>6842289</v>
      </c>
    </row>
    <row r="193">
      <c r="B193" s="1" t="s">
        <v>204</v>
      </c>
      <c r="C193" s="1" t="s">
        <v>205</v>
      </c>
      <c r="D193" s="1" t="s">
        <v>24</v>
      </c>
      <c r="E193" s="1">
        <v>4.0</v>
      </c>
      <c r="F193" s="4">
        <v>173600.0</v>
      </c>
      <c r="G193" s="2">
        <f t="shared" si="23"/>
        <v>694400</v>
      </c>
    </row>
    <row r="194">
      <c r="B194" s="1" t="s">
        <v>206</v>
      </c>
      <c r="C194" s="1" t="s">
        <v>205</v>
      </c>
      <c r="D194" s="1" t="s">
        <v>24</v>
      </c>
      <c r="E194" s="1">
        <v>0.66</v>
      </c>
      <c r="F194" s="4">
        <v>173600.0</v>
      </c>
      <c r="G194" s="2">
        <f t="shared" si="23"/>
        <v>114576</v>
      </c>
    </row>
    <row r="195">
      <c r="B195" s="1" t="s">
        <v>207</v>
      </c>
      <c r="C195" s="1" t="s">
        <v>205</v>
      </c>
      <c r="D195" s="1" t="s">
        <v>24</v>
      </c>
      <c r="E195" s="1">
        <v>10.0</v>
      </c>
      <c r="F195" s="4">
        <v>173600.0</v>
      </c>
      <c r="G195" s="2">
        <f t="shared" si="23"/>
        <v>1736000</v>
      </c>
    </row>
    <row r="196">
      <c r="B196" s="1" t="s">
        <v>208</v>
      </c>
      <c r="C196" s="1" t="s">
        <v>205</v>
      </c>
      <c r="D196" s="1" t="s">
        <v>24</v>
      </c>
      <c r="E196" s="1">
        <v>4.0</v>
      </c>
      <c r="F196" s="4">
        <v>173600.0</v>
      </c>
      <c r="G196" s="2">
        <f t="shared" si="23"/>
        <v>694400</v>
      </c>
    </row>
    <row r="197">
      <c r="E197" s="3"/>
      <c r="F197" s="4"/>
    </row>
    <row r="198">
      <c r="B198" s="1" t="s">
        <v>209</v>
      </c>
      <c r="E198" s="3"/>
      <c r="F198" s="4"/>
    </row>
    <row r="199">
      <c r="B199" s="1" t="s">
        <v>210</v>
      </c>
      <c r="C199" s="1" t="s">
        <v>211</v>
      </c>
      <c r="D199" s="1" t="s">
        <v>24</v>
      </c>
      <c r="E199" s="3">
        <v>1.0</v>
      </c>
      <c r="F199" s="4">
        <v>327600.0</v>
      </c>
      <c r="G199" s="2">
        <f t="shared" ref="G199:G202" si="24">F199*E199</f>
        <v>327600</v>
      </c>
    </row>
    <row r="200">
      <c r="B200" s="1" t="s">
        <v>210</v>
      </c>
      <c r="C200" s="1" t="s">
        <v>212</v>
      </c>
      <c r="D200" s="1" t="s">
        <v>24</v>
      </c>
      <c r="E200" s="3">
        <v>2.0</v>
      </c>
      <c r="F200" s="4">
        <v>289700.0</v>
      </c>
      <c r="G200" s="2">
        <f t="shared" si="24"/>
        <v>579400</v>
      </c>
    </row>
    <row r="201">
      <c r="B201" s="1" t="s">
        <v>213</v>
      </c>
      <c r="C201" s="1" t="s">
        <v>214</v>
      </c>
      <c r="D201" s="1" t="s">
        <v>215</v>
      </c>
      <c r="E201" s="3">
        <v>24.0</v>
      </c>
      <c r="F201" s="4">
        <v>95400.0</v>
      </c>
      <c r="G201" s="2">
        <f t="shared" si="24"/>
        <v>2289600</v>
      </c>
    </row>
    <row r="202">
      <c r="B202" s="1" t="s">
        <v>216</v>
      </c>
      <c r="C202" s="1" t="s">
        <v>217</v>
      </c>
      <c r="D202" s="1" t="s">
        <v>11</v>
      </c>
      <c r="E202" s="3">
        <v>11.4</v>
      </c>
      <c r="F202" s="4">
        <v>108000.0</v>
      </c>
      <c r="G202" s="2">
        <f t="shared" si="24"/>
        <v>1231200</v>
      </c>
    </row>
    <row r="205">
      <c r="B205" s="22" t="s">
        <v>218</v>
      </c>
      <c r="H205" s="2">
        <f>sum(H2:H202)</f>
        <v>866391823</v>
      </c>
    </row>
    <row r="206">
      <c r="B206" s="22" t="s">
        <v>219</v>
      </c>
      <c r="H206" s="2">
        <f>H205*0.1</f>
        <v>86639182.3</v>
      </c>
    </row>
    <row r="207">
      <c r="B207" s="22" t="s">
        <v>220</v>
      </c>
      <c r="H207" s="2">
        <f>H205+H206</f>
        <v>953031005.3</v>
      </c>
    </row>
    <row r="208">
      <c r="B208" s="22" t="s">
        <v>221</v>
      </c>
      <c r="H208" s="4">
        <v>9.53E8</v>
      </c>
      <c r="J208" s="1" t="s">
        <v>224</v>
      </c>
      <c r="K208" s="23">
        <f>H208/'Ruko 3lt'!H221</f>
        <v>0.8076271186</v>
      </c>
    </row>
  </sheetData>
  <mergeCells count="4">
    <mergeCell ref="B205:G205"/>
    <mergeCell ref="B206:G206"/>
    <mergeCell ref="B207:G207"/>
    <mergeCell ref="B208:G20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6.0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18.43"/>
    <col customWidth="1" min="10" max="10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H2" s="2">
        <f>sum(G3:G9)</f>
        <v>21230600</v>
      </c>
    </row>
    <row r="3">
      <c r="B3" s="1" t="s">
        <v>9</v>
      </c>
      <c r="C3" s="1" t="s">
        <v>10</v>
      </c>
      <c r="D3" s="1" t="s">
        <v>11</v>
      </c>
      <c r="E3" s="3">
        <v>40.0</v>
      </c>
      <c r="F3" s="4">
        <v>17400.0</v>
      </c>
      <c r="G3" s="2">
        <f t="shared" ref="G3:G9" si="1">F3*E3</f>
        <v>696000</v>
      </c>
    </row>
    <row r="4">
      <c r="B4" s="1" t="s">
        <v>12</v>
      </c>
      <c r="D4" s="1" t="s">
        <v>13</v>
      </c>
      <c r="E4" s="3">
        <v>30.0</v>
      </c>
      <c r="F4" s="4">
        <v>150700.0</v>
      </c>
      <c r="G4" s="2">
        <f t="shared" si="1"/>
        <v>4521000</v>
      </c>
    </row>
    <row r="5">
      <c r="B5" s="1" t="s">
        <v>14</v>
      </c>
      <c r="D5" s="1" t="s">
        <v>13</v>
      </c>
      <c r="E5" s="3">
        <v>30.0</v>
      </c>
      <c r="F5" s="4">
        <v>150700.0</v>
      </c>
      <c r="G5" s="2">
        <f t="shared" si="1"/>
        <v>4521000</v>
      </c>
    </row>
    <row r="6">
      <c r="B6" s="1" t="s">
        <v>15</v>
      </c>
      <c r="D6" s="1" t="s">
        <v>16</v>
      </c>
      <c r="E6" s="3">
        <v>6.0</v>
      </c>
      <c r="F6" s="4">
        <v>340900.0</v>
      </c>
      <c r="G6" s="2">
        <f t="shared" si="1"/>
        <v>2045400</v>
      </c>
    </row>
    <row r="7">
      <c r="B7" s="1" t="s">
        <v>17</v>
      </c>
      <c r="C7" s="1" t="s">
        <v>18</v>
      </c>
      <c r="D7" s="1" t="s">
        <v>16</v>
      </c>
      <c r="E7" s="3">
        <v>6.0</v>
      </c>
      <c r="F7" s="4">
        <v>712800.0</v>
      </c>
      <c r="G7" s="2">
        <f t="shared" si="1"/>
        <v>4276800</v>
      </c>
    </row>
    <row r="8">
      <c r="B8" s="1" t="s">
        <v>19</v>
      </c>
      <c r="C8" s="1" t="s">
        <v>20</v>
      </c>
      <c r="D8" s="1" t="s">
        <v>21</v>
      </c>
      <c r="E8" s="3">
        <v>96.0</v>
      </c>
      <c r="F8" s="4">
        <v>11600.0</v>
      </c>
      <c r="G8" s="2">
        <f t="shared" si="1"/>
        <v>1113600</v>
      </c>
    </row>
    <row r="9">
      <c r="B9" s="1" t="s">
        <v>22</v>
      </c>
      <c r="C9" s="1" t="s">
        <v>23</v>
      </c>
      <c r="D9" s="1" t="s">
        <v>24</v>
      </c>
      <c r="E9" s="3">
        <v>1.0</v>
      </c>
      <c r="F9" s="4">
        <v>4056800.0</v>
      </c>
      <c r="G9" s="2">
        <f t="shared" si="1"/>
        <v>4056800</v>
      </c>
    </row>
    <row r="11">
      <c r="A11" s="1">
        <v>2.0</v>
      </c>
      <c r="B11" s="1" t="s">
        <v>25</v>
      </c>
      <c r="H11" s="2">
        <f>sum(G12:G44)</f>
        <v>141902978</v>
      </c>
    </row>
    <row r="12">
      <c r="B12" s="1" t="s">
        <v>26</v>
      </c>
    </row>
    <row r="13">
      <c r="B13" s="1" t="s">
        <v>27</v>
      </c>
      <c r="C13" s="1" t="s">
        <v>28</v>
      </c>
      <c r="D13" s="1" t="s">
        <v>11</v>
      </c>
      <c r="E13" s="3">
        <v>156.0</v>
      </c>
      <c r="F13" s="4">
        <v>396000.0</v>
      </c>
      <c r="G13" s="2">
        <f>F13*E13</f>
        <v>61776000</v>
      </c>
    </row>
    <row r="14">
      <c r="C14" s="1" t="s">
        <v>29</v>
      </c>
      <c r="E14" s="5"/>
      <c r="F14" s="2"/>
    </row>
    <row r="15">
      <c r="C15" s="1" t="s">
        <v>30</v>
      </c>
      <c r="E15" s="5"/>
      <c r="F15" s="2"/>
    </row>
    <row r="16">
      <c r="B16" s="1" t="s">
        <v>31</v>
      </c>
      <c r="D16" s="1" t="s">
        <v>32</v>
      </c>
      <c r="E16" s="3">
        <v>13.0</v>
      </c>
      <c r="F16" s="4">
        <v>60000.0</v>
      </c>
      <c r="G16" s="2">
        <f>F16*E16</f>
        <v>780000</v>
      </c>
    </row>
    <row r="18">
      <c r="B18" s="1" t="s">
        <v>33</v>
      </c>
    </row>
    <row r="19">
      <c r="B19" s="1" t="s">
        <v>34</v>
      </c>
    </row>
    <row r="20">
      <c r="B20" s="1" t="s">
        <v>35</v>
      </c>
      <c r="D20" s="1" t="s">
        <v>36</v>
      </c>
      <c r="E20" s="3">
        <v>13.6</v>
      </c>
      <c r="F20" s="4">
        <v>93800.0</v>
      </c>
      <c r="G20" s="2">
        <f t="shared" ref="G20:G26" si="2">F20*E20</f>
        <v>1275680</v>
      </c>
    </row>
    <row r="21">
      <c r="B21" s="1" t="s">
        <v>37</v>
      </c>
      <c r="C21" s="1" t="s">
        <v>38</v>
      </c>
      <c r="D21" s="1" t="s">
        <v>13</v>
      </c>
      <c r="E21" s="3">
        <v>8.01</v>
      </c>
      <c r="F21" s="4">
        <v>30000.0</v>
      </c>
      <c r="G21" s="2">
        <f t="shared" si="2"/>
        <v>240300</v>
      </c>
    </row>
    <row r="22">
      <c r="B22" s="1" t="s">
        <v>39</v>
      </c>
      <c r="C22" s="1" t="s">
        <v>40</v>
      </c>
      <c r="D22" s="1" t="s">
        <v>36</v>
      </c>
      <c r="E22" s="3">
        <v>0.8</v>
      </c>
      <c r="F22" s="4">
        <v>549600.0</v>
      </c>
      <c r="G22" s="2">
        <f t="shared" si="2"/>
        <v>439680</v>
      </c>
    </row>
    <row r="23">
      <c r="B23" s="1" t="s">
        <v>41</v>
      </c>
      <c r="C23" s="1" t="s">
        <v>42</v>
      </c>
      <c r="D23" s="1" t="s">
        <v>36</v>
      </c>
      <c r="E23" s="3">
        <v>0.4</v>
      </c>
      <c r="F23" s="4">
        <v>751500.0</v>
      </c>
      <c r="G23" s="2">
        <f t="shared" si="2"/>
        <v>300600</v>
      </c>
    </row>
    <row r="24">
      <c r="B24" s="1" t="s">
        <v>43</v>
      </c>
      <c r="C24" s="1" t="s">
        <v>44</v>
      </c>
      <c r="D24" s="1" t="s">
        <v>13</v>
      </c>
      <c r="E24" s="3">
        <v>18.53</v>
      </c>
      <c r="F24" s="4">
        <v>114600.0</v>
      </c>
      <c r="G24" s="2">
        <f t="shared" si="2"/>
        <v>2123538</v>
      </c>
    </row>
    <row r="25">
      <c r="B25" s="1" t="s">
        <v>45</v>
      </c>
      <c r="C25" s="1" t="s">
        <v>46</v>
      </c>
      <c r="D25" s="1" t="s">
        <v>47</v>
      </c>
      <c r="E25" s="3">
        <v>1207.74</v>
      </c>
      <c r="F25" s="4">
        <v>13000.0</v>
      </c>
      <c r="G25" s="2">
        <f t="shared" si="2"/>
        <v>15700620</v>
      </c>
    </row>
    <row r="26">
      <c r="B26" s="1" t="s">
        <v>48</v>
      </c>
      <c r="C26" s="1" t="s">
        <v>49</v>
      </c>
      <c r="D26" s="1" t="s">
        <v>36</v>
      </c>
      <c r="E26" s="3">
        <v>6.28</v>
      </c>
      <c r="F26" s="4">
        <v>1238700.0</v>
      </c>
      <c r="G26" s="2">
        <f t="shared" si="2"/>
        <v>7779036</v>
      </c>
    </row>
    <row r="28">
      <c r="B28" s="1" t="s">
        <v>50</v>
      </c>
      <c r="D28" s="1" t="s">
        <v>36</v>
      </c>
      <c r="E28" s="3">
        <v>6.48</v>
      </c>
      <c r="F28" s="4">
        <v>96000.0</v>
      </c>
      <c r="G28" s="2">
        <f t="shared" ref="G28:G34" si="3">F28*E28</f>
        <v>622080</v>
      </c>
    </row>
    <row r="29">
      <c r="B29" s="1" t="s">
        <v>35</v>
      </c>
      <c r="C29" s="1" t="s">
        <v>38</v>
      </c>
      <c r="D29" s="1" t="s">
        <v>13</v>
      </c>
      <c r="E29" s="3">
        <v>10.71</v>
      </c>
      <c r="F29" s="4">
        <v>30000.0</v>
      </c>
      <c r="G29" s="2">
        <f t="shared" si="3"/>
        <v>321300</v>
      </c>
    </row>
    <row r="30">
      <c r="B30" s="1" t="s">
        <v>37</v>
      </c>
      <c r="C30" s="1" t="s">
        <v>40</v>
      </c>
      <c r="D30" s="1" t="s">
        <v>36</v>
      </c>
      <c r="E30" s="3">
        <v>1.0</v>
      </c>
      <c r="F30" s="4">
        <v>549600.0</v>
      </c>
      <c r="G30" s="2">
        <f t="shared" si="3"/>
        <v>549600</v>
      </c>
    </row>
    <row r="31">
      <c r="B31" s="1" t="s">
        <v>39</v>
      </c>
      <c r="C31" s="1" t="s">
        <v>42</v>
      </c>
      <c r="D31" s="1" t="s">
        <v>36</v>
      </c>
      <c r="E31" s="3">
        <v>0.5</v>
      </c>
      <c r="F31" s="4">
        <v>751500.0</v>
      </c>
      <c r="G31" s="2">
        <f t="shared" si="3"/>
        <v>375750</v>
      </c>
    </row>
    <row r="32">
      <c r="B32" s="1" t="s">
        <v>41</v>
      </c>
      <c r="C32" s="1" t="s">
        <v>44</v>
      </c>
      <c r="D32" s="1" t="s">
        <v>13</v>
      </c>
      <c r="E32" s="3">
        <v>39.89</v>
      </c>
      <c r="F32" s="4">
        <v>114600.0</v>
      </c>
      <c r="G32" s="2">
        <f t="shared" si="3"/>
        <v>4571394</v>
      </c>
    </row>
    <row r="33">
      <c r="B33" s="1" t="s">
        <v>43</v>
      </c>
      <c r="C33" s="1" t="s">
        <v>46</v>
      </c>
      <c r="D33" s="1" t="s">
        <v>47</v>
      </c>
      <c r="E33" s="3">
        <v>329.61</v>
      </c>
      <c r="F33" s="4">
        <v>13000.0</v>
      </c>
      <c r="G33" s="2">
        <f t="shared" si="3"/>
        <v>4284930</v>
      </c>
    </row>
    <row r="34">
      <c r="B34" s="1" t="s">
        <v>51</v>
      </c>
      <c r="C34" s="1" t="s">
        <v>49</v>
      </c>
      <c r="D34" s="1" t="s">
        <v>36</v>
      </c>
      <c r="E34" s="3">
        <v>4.99</v>
      </c>
      <c r="F34" s="4">
        <v>1238700.0</v>
      </c>
      <c r="G34" s="2">
        <f t="shared" si="3"/>
        <v>6181113</v>
      </c>
    </row>
    <row r="35">
      <c r="B35" s="1" t="s">
        <v>52</v>
      </c>
    </row>
    <row r="37">
      <c r="B37" s="1" t="s">
        <v>53</v>
      </c>
    </row>
    <row r="38">
      <c r="B38" s="1" t="s">
        <v>35</v>
      </c>
      <c r="D38" s="1" t="s">
        <v>36</v>
      </c>
      <c r="E38" s="1">
        <v>21.21</v>
      </c>
      <c r="F38" s="4">
        <v>96000.0</v>
      </c>
      <c r="G38" s="2">
        <f t="shared" ref="G38:G44" si="4">F38*E38</f>
        <v>2036160</v>
      </c>
    </row>
    <row r="39">
      <c r="B39" s="1" t="s">
        <v>37</v>
      </c>
      <c r="C39" s="1" t="s">
        <v>38</v>
      </c>
      <c r="D39" s="1" t="s">
        <v>13</v>
      </c>
      <c r="E39" s="1">
        <v>75.78</v>
      </c>
      <c r="F39" s="4">
        <v>30000.0</v>
      </c>
      <c r="G39" s="2">
        <f t="shared" si="4"/>
        <v>2273400</v>
      </c>
    </row>
    <row r="40">
      <c r="B40" s="1" t="s">
        <v>39</v>
      </c>
      <c r="C40" s="1" t="s">
        <v>40</v>
      </c>
      <c r="D40" s="1" t="s">
        <v>36</v>
      </c>
      <c r="E40" s="1">
        <v>7.57</v>
      </c>
      <c r="F40" s="4">
        <v>549600.0</v>
      </c>
      <c r="G40" s="2">
        <f t="shared" si="4"/>
        <v>4160472</v>
      </c>
    </row>
    <row r="41">
      <c r="B41" s="1" t="s">
        <v>41</v>
      </c>
      <c r="C41" s="1" t="s">
        <v>42</v>
      </c>
      <c r="D41" s="1" t="s">
        <v>36</v>
      </c>
      <c r="E41" s="1">
        <v>3.78</v>
      </c>
      <c r="F41" s="4">
        <v>751500.0</v>
      </c>
      <c r="G41" s="2">
        <f t="shared" si="4"/>
        <v>2840670</v>
      </c>
    </row>
    <row r="42">
      <c r="B42" s="1" t="s">
        <v>43</v>
      </c>
      <c r="C42" s="1" t="s">
        <v>44</v>
      </c>
      <c r="D42" s="1" t="s">
        <v>13</v>
      </c>
      <c r="E42" s="1">
        <v>6.0</v>
      </c>
      <c r="F42" s="4">
        <v>114600.0</v>
      </c>
      <c r="G42" s="2">
        <f t="shared" si="4"/>
        <v>687600</v>
      </c>
    </row>
    <row r="43">
      <c r="B43" s="1" t="s">
        <v>51</v>
      </c>
      <c r="C43" s="1" t="s">
        <v>54</v>
      </c>
      <c r="D43" s="1" t="s">
        <v>13</v>
      </c>
      <c r="E43" s="1">
        <v>75.78</v>
      </c>
      <c r="F43" s="4">
        <v>137000.0</v>
      </c>
      <c r="G43" s="2">
        <f t="shared" si="4"/>
        <v>10381860</v>
      </c>
    </row>
    <row r="44">
      <c r="B44" s="1" t="s">
        <v>52</v>
      </c>
      <c r="C44" s="1" t="s">
        <v>49</v>
      </c>
      <c r="D44" s="1" t="s">
        <v>36</v>
      </c>
      <c r="E44" s="1">
        <v>9.85</v>
      </c>
      <c r="F44" s="4">
        <v>1238700.0</v>
      </c>
      <c r="G44" s="2">
        <f t="shared" si="4"/>
        <v>12201195</v>
      </c>
    </row>
    <row r="45">
      <c r="F45" s="4"/>
    </row>
    <row r="46">
      <c r="A46" s="1">
        <v>3.0</v>
      </c>
      <c r="B46" s="1" t="s">
        <v>55</v>
      </c>
      <c r="F46" s="4"/>
      <c r="H46" s="2">
        <f>sum(G48:G89)</f>
        <v>182394812</v>
      </c>
    </row>
    <row r="47">
      <c r="B47" s="1" t="s">
        <v>56</v>
      </c>
      <c r="F47" s="4"/>
    </row>
    <row r="48">
      <c r="B48" s="1" t="s">
        <v>43</v>
      </c>
      <c r="C48" s="1" t="s">
        <v>57</v>
      </c>
      <c r="D48" s="1" t="s">
        <v>13</v>
      </c>
      <c r="E48" s="1">
        <v>17.95</v>
      </c>
      <c r="F48" s="4">
        <v>114600.0</v>
      </c>
      <c r="G48" s="2">
        <f t="shared" ref="G48:G50" si="5">F48*E48</f>
        <v>2057070</v>
      </c>
    </row>
    <row r="49">
      <c r="B49" s="1" t="s">
        <v>45</v>
      </c>
      <c r="C49" s="1" t="s">
        <v>58</v>
      </c>
      <c r="D49" s="1" t="s">
        <v>47</v>
      </c>
      <c r="E49" s="1">
        <v>517.84</v>
      </c>
      <c r="F49" s="4">
        <v>13000.0</v>
      </c>
      <c r="G49" s="2">
        <f t="shared" si="5"/>
        <v>6731920</v>
      </c>
    </row>
    <row r="50">
      <c r="B50" s="1" t="s">
        <v>52</v>
      </c>
      <c r="C50" s="1" t="s">
        <v>59</v>
      </c>
      <c r="D50" s="1" t="s">
        <v>36</v>
      </c>
      <c r="E50" s="1">
        <v>1.84</v>
      </c>
      <c r="F50" s="4">
        <v>1238700.0</v>
      </c>
      <c r="G50" s="2">
        <f t="shared" si="5"/>
        <v>2279208</v>
      </c>
    </row>
    <row r="51">
      <c r="E51" s="5"/>
      <c r="F51" s="4"/>
    </row>
    <row r="52">
      <c r="B52" s="1" t="s">
        <v>60</v>
      </c>
      <c r="E52" s="5"/>
      <c r="F52" s="4"/>
    </row>
    <row r="53">
      <c r="B53" s="1" t="s">
        <v>43</v>
      </c>
      <c r="C53" s="1" t="s">
        <v>61</v>
      </c>
      <c r="D53" s="1" t="s">
        <v>13</v>
      </c>
      <c r="E53" s="1">
        <v>38.88</v>
      </c>
      <c r="F53" s="4">
        <v>114600.0</v>
      </c>
      <c r="G53" s="2">
        <f t="shared" ref="G53:G55" si="6">F53*E53</f>
        <v>4455648</v>
      </c>
    </row>
    <row r="54">
      <c r="B54" s="1" t="s">
        <v>45</v>
      </c>
      <c r="C54" s="1" t="s">
        <v>58</v>
      </c>
      <c r="D54" s="1" t="s">
        <v>47</v>
      </c>
      <c r="E54" s="1">
        <v>878.58</v>
      </c>
      <c r="F54" s="4">
        <v>13000.0</v>
      </c>
      <c r="G54" s="2">
        <f t="shared" si="6"/>
        <v>11421540</v>
      </c>
    </row>
    <row r="55">
      <c r="B55" s="1" t="s">
        <v>52</v>
      </c>
      <c r="C55" s="1" t="s">
        <v>62</v>
      </c>
      <c r="D55" s="1" t="s">
        <v>36</v>
      </c>
      <c r="E55" s="1">
        <v>4.74</v>
      </c>
      <c r="F55" s="4">
        <v>1238700.0</v>
      </c>
      <c r="G55" s="2">
        <f t="shared" si="6"/>
        <v>5871438</v>
      </c>
    </row>
    <row r="56">
      <c r="F56" s="4"/>
    </row>
    <row r="57">
      <c r="B57" s="1" t="s">
        <v>63</v>
      </c>
      <c r="F57" s="4"/>
    </row>
    <row r="58">
      <c r="B58" s="1" t="s">
        <v>64</v>
      </c>
      <c r="C58" s="1" t="s">
        <v>61</v>
      </c>
      <c r="D58" s="1" t="s">
        <v>13</v>
      </c>
      <c r="E58" s="1">
        <v>2.25</v>
      </c>
      <c r="F58" s="4">
        <v>114600.0</v>
      </c>
      <c r="G58" s="2">
        <f t="shared" ref="G58:G62" si="7">F58*E58</f>
        <v>257850</v>
      </c>
    </row>
    <row r="59">
      <c r="B59" s="1" t="s">
        <v>65</v>
      </c>
      <c r="C59" s="1" t="s">
        <v>66</v>
      </c>
      <c r="D59" s="1" t="s">
        <v>13</v>
      </c>
      <c r="E59" s="1">
        <v>78.78</v>
      </c>
      <c r="F59" s="4">
        <v>198000.0</v>
      </c>
      <c r="G59" s="2">
        <f t="shared" si="7"/>
        <v>15598440</v>
      </c>
    </row>
    <row r="60">
      <c r="B60" s="1" t="s">
        <v>51</v>
      </c>
      <c r="C60" s="1" t="s">
        <v>58</v>
      </c>
      <c r="D60" s="1" t="s">
        <v>47</v>
      </c>
      <c r="E60" s="1">
        <v>285.0</v>
      </c>
      <c r="F60" s="4">
        <v>13000.0</v>
      </c>
      <c r="G60" s="2">
        <f t="shared" si="7"/>
        <v>3705000</v>
      </c>
    </row>
    <row r="61">
      <c r="B61" s="1" t="s">
        <v>51</v>
      </c>
      <c r="C61" s="1" t="s">
        <v>67</v>
      </c>
      <c r="D61" s="1" t="s">
        <v>13</v>
      </c>
      <c r="E61" s="1">
        <v>81.03</v>
      </c>
      <c r="F61" s="4">
        <v>133900.0</v>
      </c>
      <c r="G61" s="2">
        <f t="shared" si="7"/>
        <v>10849917</v>
      </c>
    </row>
    <row r="62">
      <c r="B62" s="1" t="s">
        <v>52</v>
      </c>
      <c r="C62" s="1" t="s">
        <v>59</v>
      </c>
      <c r="D62" s="1" t="s">
        <v>36</v>
      </c>
      <c r="E62" s="1">
        <v>11.72</v>
      </c>
      <c r="F62" s="4">
        <v>1238700.0</v>
      </c>
      <c r="G62" s="2">
        <f t="shared" si="7"/>
        <v>14517564</v>
      </c>
    </row>
    <row r="63">
      <c r="F63" s="4"/>
    </row>
    <row r="64">
      <c r="B64" s="1" t="s">
        <v>68</v>
      </c>
      <c r="F64" s="4"/>
    </row>
    <row r="65">
      <c r="B65" s="1" t="s">
        <v>43</v>
      </c>
      <c r="C65" s="1" t="s">
        <v>57</v>
      </c>
      <c r="D65" s="1" t="s">
        <v>13</v>
      </c>
      <c r="E65" s="1">
        <v>17.95</v>
      </c>
      <c r="F65" s="4">
        <v>114600.0</v>
      </c>
      <c r="G65" s="2">
        <f t="shared" ref="G65:G67" si="8">F65*E65</f>
        <v>2057070</v>
      </c>
    </row>
    <row r="66">
      <c r="B66" s="1" t="s">
        <v>51</v>
      </c>
      <c r="C66" s="1" t="s">
        <v>58</v>
      </c>
      <c r="D66" s="1" t="s">
        <v>47</v>
      </c>
      <c r="E66" s="1">
        <v>517.84</v>
      </c>
      <c r="F66" s="4">
        <v>13000.0</v>
      </c>
      <c r="G66" s="2">
        <f t="shared" si="8"/>
        <v>6731920</v>
      </c>
    </row>
    <row r="67">
      <c r="B67" s="1" t="s">
        <v>52</v>
      </c>
      <c r="C67" s="1" t="s">
        <v>69</v>
      </c>
      <c r="D67" s="1" t="s">
        <v>36</v>
      </c>
      <c r="E67" s="1">
        <v>1.84</v>
      </c>
      <c r="F67" s="4">
        <v>1238700.0</v>
      </c>
      <c r="G67" s="2">
        <f t="shared" si="8"/>
        <v>2279208</v>
      </c>
    </row>
    <row r="68">
      <c r="F68" s="4"/>
    </row>
    <row r="69">
      <c r="B69" s="1" t="s">
        <v>76</v>
      </c>
      <c r="F69" s="4"/>
    </row>
    <row r="70">
      <c r="B70" s="1" t="s">
        <v>43</v>
      </c>
      <c r="C70" s="1" t="s">
        <v>57</v>
      </c>
      <c r="D70" s="1" t="s">
        <v>13</v>
      </c>
      <c r="E70" s="1">
        <v>38.88</v>
      </c>
      <c r="F70" s="4">
        <v>114600.0</v>
      </c>
      <c r="G70" s="2">
        <f t="shared" ref="G70:G72" si="9">F70*E70</f>
        <v>4455648</v>
      </c>
    </row>
    <row r="71">
      <c r="B71" s="1" t="s">
        <v>51</v>
      </c>
      <c r="C71" s="1" t="s">
        <v>58</v>
      </c>
      <c r="D71" s="1" t="s">
        <v>47</v>
      </c>
      <c r="E71" s="1">
        <v>878.58</v>
      </c>
      <c r="F71" s="4">
        <v>13000.0</v>
      </c>
      <c r="G71" s="2">
        <f t="shared" si="9"/>
        <v>11421540</v>
      </c>
    </row>
    <row r="72">
      <c r="B72" s="1" t="s">
        <v>52</v>
      </c>
      <c r="C72" s="1" t="s">
        <v>59</v>
      </c>
      <c r="D72" s="1" t="s">
        <v>36</v>
      </c>
      <c r="E72" s="1">
        <v>4.74</v>
      </c>
      <c r="F72" s="4">
        <v>1238700.0</v>
      </c>
      <c r="G72" s="2">
        <f t="shared" si="9"/>
        <v>5871438</v>
      </c>
    </row>
    <row r="73">
      <c r="F73" s="4"/>
    </row>
    <row r="74">
      <c r="B74" s="1" t="s">
        <v>76</v>
      </c>
      <c r="F74" s="4"/>
    </row>
    <row r="75">
      <c r="B75" s="1" t="s">
        <v>77</v>
      </c>
      <c r="C75" s="1" t="s">
        <v>57</v>
      </c>
      <c r="D75" s="1" t="s">
        <v>13</v>
      </c>
      <c r="E75" s="1">
        <v>41.16</v>
      </c>
      <c r="F75" s="4">
        <v>114600.0</v>
      </c>
      <c r="G75" s="2">
        <f t="shared" ref="G75:G77" si="10">F75*E75</f>
        <v>4716936</v>
      </c>
    </row>
    <row r="76">
      <c r="B76" s="1" t="s">
        <v>51</v>
      </c>
      <c r="C76" s="1" t="s">
        <v>58</v>
      </c>
      <c r="D76" s="1" t="s">
        <v>47</v>
      </c>
      <c r="E76" s="1">
        <v>801.09</v>
      </c>
      <c r="F76" s="4">
        <v>13000.0</v>
      </c>
      <c r="G76" s="2">
        <f t="shared" si="10"/>
        <v>10414170</v>
      </c>
    </row>
    <row r="77">
      <c r="B77" s="1" t="s">
        <v>52</v>
      </c>
      <c r="C77" s="1" t="s">
        <v>69</v>
      </c>
      <c r="D77" s="1" t="s">
        <v>36</v>
      </c>
      <c r="E77" s="1">
        <v>4.85</v>
      </c>
      <c r="F77" s="4">
        <v>1238700.0</v>
      </c>
      <c r="G77" s="2">
        <f t="shared" si="10"/>
        <v>6007695</v>
      </c>
    </row>
    <row r="78">
      <c r="F78" s="4"/>
    </row>
    <row r="79">
      <c r="B79" s="1" t="s">
        <v>78</v>
      </c>
      <c r="F79" s="4"/>
    </row>
    <row r="80">
      <c r="B80" s="1" t="s">
        <v>73</v>
      </c>
      <c r="C80" s="1" t="s">
        <v>74</v>
      </c>
      <c r="D80" s="1" t="s">
        <v>13</v>
      </c>
      <c r="E80" s="1">
        <v>78.78</v>
      </c>
      <c r="F80" s="4">
        <v>186000.0</v>
      </c>
      <c r="G80" s="2">
        <f t="shared" ref="G80:G83" si="11">F80*E80</f>
        <v>14653080</v>
      </c>
    </row>
    <row r="81">
      <c r="B81" s="1" t="s">
        <v>51</v>
      </c>
      <c r="C81" s="1" t="s">
        <v>46</v>
      </c>
      <c r="D81" s="1" t="s">
        <v>47</v>
      </c>
      <c r="E81" s="1">
        <v>285.0</v>
      </c>
      <c r="F81" s="4">
        <v>13000.0</v>
      </c>
      <c r="G81" s="2">
        <f t="shared" si="11"/>
        <v>3705000</v>
      </c>
    </row>
    <row r="82">
      <c r="B82" s="1" t="s">
        <v>51</v>
      </c>
      <c r="C82" s="1" t="s">
        <v>67</v>
      </c>
      <c r="D82" s="1" t="s">
        <v>13</v>
      </c>
      <c r="E82" s="1">
        <v>81.03</v>
      </c>
      <c r="F82" s="4">
        <v>137000.0</v>
      </c>
      <c r="G82" s="2">
        <f t="shared" si="11"/>
        <v>11101110</v>
      </c>
    </row>
    <row r="83">
      <c r="B83" s="1" t="s">
        <v>52</v>
      </c>
      <c r="C83" s="1" t="s">
        <v>69</v>
      </c>
      <c r="D83" s="1" t="s">
        <v>36</v>
      </c>
      <c r="E83" s="1">
        <v>11.72</v>
      </c>
      <c r="F83" s="4">
        <v>1238700.0</v>
      </c>
      <c r="G83" s="2">
        <f t="shared" si="11"/>
        <v>14517564</v>
      </c>
    </row>
    <row r="84">
      <c r="E84" s="3"/>
      <c r="F84" s="4"/>
    </row>
    <row r="85">
      <c r="E85" s="3"/>
      <c r="F85" s="4"/>
    </row>
    <row r="86">
      <c r="B86" s="1" t="s">
        <v>85</v>
      </c>
      <c r="E86" s="3"/>
      <c r="F86" s="4"/>
    </row>
    <row r="87">
      <c r="B87" s="1" t="s">
        <v>86</v>
      </c>
      <c r="C87" s="1" t="s">
        <v>57</v>
      </c>
      <c r="D87" s="1" t="s">
        <v>13</v>
      </c>
      <c r="E87" s="1">
        <v>17.61</v>
      </c>
      <c r="F87" s="4">
        <v>114600.0</v>
      </c>
      <c r="G87" s="2">
        <f t="shared" ref="G87:G89" si="12">F87*E87</f>
        <v>2018106</v>
      </c>
    </row>
    <row r="88">
      <c r="B88" s="1" t="s">
        <v>51</v>
      </c>
      <c r="C88" s="1" t="s">
        <v>58</v>
      </c>
      <c r="D88" s="1" t="s">
        <v>47</v>
      </c>
      <c r="E88" s="1">
        <v>193.74</v>
      </c>
      <c r="F88" s="4">
        <v>13000.0</v>
      </c>
      <c r="G88" s="2">
        <f t="shared" si="12"/>
        <v>2518620</v>
      </c>
    </row>
    <row r="89">
      <c r="B89" s="1" t="s">
        <v>52</v>
      </c>
      <c r="C89" s="1" t="s">
        <v>88</v>
      </c>
      <c r="D89" s="1" t="s">
        <v>36</v>
      </c>
      <c r="E89" s="1">
        <v>1.76</v>
      </c>
      <c r="F89" s="4">
        <v>1238700.0</v>
      </c>
      <c r="G89" s="2">
        <f t="shared" si="12"/>
        <v>2180112</v>
      </c>
    </row>
    <row r="90">
      <c r="E90" s="3"/>
      <c r="F90" s="4"/>
    </row>
    <row r="91">
      <c r="A91" s="1" t="s">
        <v>89</v>
      </c>
      <c r="B91" s="1" t="s">
        <v>90</v>
      </c>
      <c r="E91" s="3"/>
      <c r="F91" s="4"/>
      <c r="H91" s="2">
        <f>sum(G93:G159)</f>
        <v>296956199.8</v>
      </c>
    </row>
    <row r="92">
      <c r="B92" s="1" t="s">
        <v>91</v>
      </c>
      <c r="E92" s="3"/>
      <c r="F92" s="4"/>
    </row>
    <row r="93">
      <c r="B93" s="1" t="s">
        <v>95</v>
      </c>
      <c r="C93" s="1" t="s">
        <v>96</v>
      </c>
      <c r="D93" s="1" t="s">
        <v>13</v>
      </c>
      <c r="E93" s="1">
        <v>230.2875</v>
      </c>
      <c r="F93" s="4">
        <v>137300.0</v>
      </c>
      <c r="G93" s="2">
        <f t="shared" ref="G93:G99" si="13">F93*E93</f>
        <v>31618473.75</v>
      </c>
    </row>
    <row r="94">
      <c r="B94" s="1" t="s">
        <v>99</v>
      </c>
      <c r="C94" s="1" t="s">
        <v>100</v>
      </c>
      <c r="D94" s="1" t="s">
        <v>13</v>
      </c>
      <c r="E94" s="1">
        <v>460.575</v>
      </c>
      <c r="F94" s="4">
        <v>49200.0</v>
      </c>
      <c r="G94" s="2">
        <f t="shared" si="13"/>
        <v>22660290</v>
      </c>
    </row>
    <row r="95">
      <c r="B95" s="1" t="s">
        <v>102</v>
      </c>
      <c r="C95" s="1" t="s">
        <v>100</v>
      </c>
      <c r="D95" s="1" t="s">
        <v>13</v>
      </c>
      <c r="E95" s="1">
        <v>460.575</v>
      </c>
      <c r="F95" s="4">
        <v>22600.0</v>
      </c>
      <c r="G95" s="2">
        <f t="shared" si="13"/>
        <v>10408995</v>
      </c>
    </row>
    <row r="96">
      <c r="B96" s="1" t="s">
        <v>103</v>
      </c>
      <c r="D96" s="1" t="s">
        <v>13</v>
      </c>
      <c r="E96" s="1">
        <v>303.78</v>
      </c>
      <c r="F96" s="4">
        <v>21600.0</v>
      </c>
      <c r="G96" s="2">
        <f t="shared" si="13"/>
        <v>6561648</v>
      </c>
    </row>
    <row r="97">
      <c r="B97" s="1" t="s">
        <v>222</v>
      </c>
      <c r="C97" s="1" t="s">
        <v>223</v>
      </c>
      <c r="D97" s="1" t="s">
        <v>13</v>
      </c>
      <c r="E97" s="1">
        <v>90.34</v>
      </c>
      <c r="F97" s="4">
        <v>230000.0</v>
      </c>
      <c r="G97" s="2">
        <f t="shared" si="13"/>
        <v>20778200</v>
      </c>
    </row>
    <row r="98">
      <c r="B98" s="1" t="s">
        <v>104</v>
      </c>
      <c r="D98" s="1" t="s">
        <v>13</v>
      </c>
      <c r="E98" s="1">
        <v>71.49</v>
      </c>
      <c r="F98" s="4">
        <v>30000.0</v>
      </c>
      <c r="G98" s="2">
        <f t="shared" si="13"/>
        <v>2144700</v>
      </c>
    </row>
    <row r="99">
      <c r="B99" s="1" t="s">
        <v>105</v>
      </c>
      <c r="D99" s="1" t="s">
        <v>13</v>
      </c>
      <c r="E99" s="1">
        <v>28.17</v>
      </c>
      <c r="F99" s="4">
        <v>281000.0</v>
      </c>
      <c r="G99" s="2">
        <f t="shared" si="13"/>
        <v>7915770</v>
      </c>
    </row>
    <row r="100">
      <c r="B100" s="1" t="s">
        <v>106</v>
      </c>
      <c r="F100" s="4"/>
    </row>
    <row r="101">
      <c r="B101" s="1" t="s">
        <v>225</v>
      </c>
      <c r="C101" s="1" t="s">
        <v>226</v>
      </c>
      <c r="D101" s="1" t="s">
        <v>13</v>
      </c>
      <c r="E101" s="1">
        <v>12.4</v>
      </c>
      <c r="F101" s="4">
        <v>380000.0</v>
      </c>
      <c r="G101" s="2">
        <f>F101*E101</f>
        <v>4712000</v>
      </c>
    </row>
    <row r="103">
      <c r="B103" s="1" t="s">
        <v>107</v>
      </c>
      <c r="F103" s="4"/>
    </row>
    <row r="104">
      <c r="B104" s="1" t="s">
        <v>108</v>
      </c>
      <c r="D104" s="1" t="s">
        <v>13</v>
      </c>
      <c r="E104" s="1">
        <v>200.7</v>
      </c>
      <c r="F104" s="4">
        <v>46200.0</v>
      </c>
      <c r="G104" s="2">
        <f t="shared" ref="G104:G109" si="14">F104*E104</f>
        <v>9272340</v>
      </c>
    </row>
    <row r="105">
      <c r="B105" s="1" t="s">
        <v>109</v>
      </c>
      <c r="C105" s="1" t="s">
        <v>110</v>
      </c>
      <c r="D105" s="1" t="s">
        <v>13</v>
      </c>
      <c r="E105" s="1">
        <v>123.06</v>
      </c>
      <c r="F105" s="4">
        <v>286300.0</v>
      </c>
      <c r="G105" s="2">
        <f t="shared" si="14"/>
        <v>35232078</v>
      </c>
    </row>
    <row r="106">
      <c r="B106" s="1" t="s">
        <v>111</v>
      </c>
      <c r="C106" s="1" t="s">
        <v>110</v>
      </c>
      <c r="D106" s="1" t="s">
        <v>13</v>
      </c>
      <c r="E106" s="1">
        <v>5.27</v>
      </c>
      <c r="F106" s="4">
        <v>286300.0</v>
      </c>
      <c r="G106" s="2">
        <f t="shared" si="14"/>
        <v>1508801</v>
      </c>
    </row>
    <row r="107">
      <c r="B107" s="1" t="s">
        <v>112</v>
      </c>
      <c r="C107" s="1" t="s">
        <v>113</v>
      </c>
      <c r="D107" s="1" t="s">
        <v>13</v>
      </c>
      <c r="E107" s="1">
        <v>16.5</v>
      </c>
      <c r="F107" s="4">
        <v>267600.0</v>
      </c>
      <c r="G107" s="2">
        <f t="shared" si="14"/>
        <v>4415400</v>
      </c>
    </row>
    <row r="108">
      <c r="B108" s="1" t="s">
        <v>114</v>
      </c>
      <c r="C108" s="1" t="s">
        <v>115</v>
      </c>
      <c r="D108" s="1" t="s">
        <v>13</v>
      </c>
      <c r="E108" s="1">
        <v>52.24</v>
      </c>
      <c r="F108" s="4">
        <v>108000.0</v>
      </c>
      <c r="G108" s="2">
        <f t="shared" si="14"/>
        <v>5641920</v>
      </c>
    </row>
    <row r="109">
      <c r="B109" s="1" t="s">
        <v>116</v>
      </c>
      <c r="C109" s="1" t="s">
        <v>117</v>
      </c>
      <c r="D109" s="1" t="s">
        <v>13</v>
      </c>
      <c r="E109" s="1">
        <v>8.33</v>
      </c>
      <c r="F109" s="4">
        <v>540000.0</v>
      </c>
      <c r="G109" s="2">
        <f t="shared" si="14"/>
        <v>4498200</v>
      </c>
    </row>
    <row r="110">
      <c r="F110" s="4"/>
    </row>
    <row r="111">
      <c r="B111" s="1" t="s">
        <v>118</v>
      </c>
      <c r="F111" s="4"/>
    </row>
    <row r="112">
      <c r="B112" s="1" t="s">
        <v>108</v>
      </c>
      <c r="D112" s="1" t="s">
        <v>13</v>
      </c>
      <c r="F112" s="4">
        <v>46200.0</v>
      </c>
      <c r="G112" s="2">
        <f t="shared" ref="G112:G114" si="15">F112*E112</f>
        <v>0</v>
      </c>
    </row>
    <row r="113">
      <c r="B113" s="1" t="s">
        <v>119</v>
      </c>
      <c r="C113" s="1" t="s">
        <v>120</v>
      </c>
      <c r="D113" s="1" t="s">
        <v>13</v>
      </c>
      <c r="F113" s="4">
        <v>335000.0</v>
      </c>
      <c r="G113" s="2">
        <f t="shared" si="15"/>
        <v>0</v>
      </c>
    </row>
    <row r="114">
      <c r="B114" s="1" t="s">
        <v>121</v>
      </c>
      <c r="D114" s="1" t="s">
        <v>11</v>
      </c>
      <c r="F114" s="4">
        <v>660000.0</v>
      </c>
      <c r="G114" s="2">
        <f t="shared" si="15"/>
        <v>0</v>
      </c>
    </row>
    <row r="115">
      <c r="F115" s="4"/>
    </row>
    <row r="116">
      <c r="B116" s="1" t="s">
        <v>122</v>
      </c>
      <c r="F116" s="4"/>
    </row>
    <row r="117">
      <c r="B117" s="1" t="s">
        <v>123</v>
      </c>
      <c r="C117" s="1" t="s">
        <v>124</v>
      </c>
      <c r="D117" s="1" t="s">
        <v>13</v>
      </c>
      <c r="E117" s="1">
        <v>180.0</v>
      </c>
      <c r="F117" s="4">
        <v>114000.0</v>
      </c>
      <c r="G117" s="2">
        <f t="shared" ref="G117:G122" si="16">F117*E117</f>
        <v>20520000</v>
      </c>
    </row>
    <row r="118">
      <c r="B118" s="1" t="s">
        <v>125</v>
      </c>
      <c r="C118" s="1" t="s">
        <v>126</v>
      </c>
      <c r="D118" s="1" t="s">
        <v>13</v>
      </c>
      <c r="E118" s="1">
        <v>26.78</v>
      </c>
      <c r="F118" s="4">
        <v>132000.0</v>
      </c>
      <c r="G118" s="2">
        <f t="shared" si="16"/>
        <v>3534960</v>
      </c>
    </row>
    <row r="119">
      <c r="B119" s="1" t="s">
        <v>127</v>
      </c>
      <c r="C119" s="1" t="s">
        <v>128</v>
      </c>
      <c r="D119" s="1" t="s">
        <v>13</v>
      </c>
      <c r="E119" s="1">
        <v>13.65</v>
      </c>
      <c r="F119" s="4">
        <v>24000.0</v>
      </c>
      <c r="G119" s="2">
        <f t="shared" si="16"/>
        <v>327600</v>
      </c>
    </row>
    <row r="120">
      <c r="B120" s="1" t="s">
        <v>129</v>
      </c>
      <c r="D120" s="1" t="s">
        <v>11</v>
      </c>
      <c r="E120" s="1">
        <v>79.32</v>
      </c>
      <c r="F120" s="4">
        <v>19800.0</v>
      </c>
      <c r="G120" s="2">
        <f t="shared" si="16"/>
        <v>1570536</v>
      </c>
    </row>
    <row r="121">
      <c r="B121" s="1" t="s">
        <v>130</v>
      </c>
      <c r="C121" s="1" t="s">
        <v>131</v>
      </c>
      <c r="D121" s="1" t="s">
        <v>13</v>
      </c>
      <c r="E121" s="1">
        <v>5.13</v>
      </c>
      <c r="F121" s="4">
        <v>132000.0</v>
      </c>
      <c r="G121" s="2">
        <f t="shared" si="16"/>
        <v>677160</v>
      </c>
    </row>
    <row r="122">
      <c r="B122" s="1" t="s">
        <v>132</v>
      </c>
      <c r="D122" s="1" t="s">
        <v>13</v>
      </c>
      <c r="E122" s="1">
        <v>225.58</v>
      </c>
      <c r="F122" s="4">
        <v>21600.0</v>
      </c>
      <c r="G122" s="2">
        <f t="shared" si="16"/>
        <v>4872528</v>
      </c>
    </row>
    <row r="123">
      <c r="E123" s="3"/>
      <c r="F123" s="4"/>
    </row>
    <row r="124">
      <c r="B124" s="1" t="s">
        <v>133</v>
      </c>
      <c r="E124" s="3"/>
      <c r="F124" s="4"/>
    </row>
    <row r="125">
      <c r="B125" s="1" t="s">
        <v>134</v>
      </c>
      <c r="C125" s="1" t="s">
        <v>135</v>
      </c>
      <c r="D125" s="1" t="s">
        <v>24</v>
      </c>
      <c r="E125" s="3">
        <v>1.0</v>
      </c>
      <c r="F125" s="4">
        <v>1.57848E7</v>
      </c>
      <c r="G125" s="2">
        <f>F125*E125</f>
        <v>15784800</v>
      </c>
    </row>
    <row r="126">
      <c r="C126" s="1" t="s">
        <v>136</v>
      </c>
      <c r="E126" s="3"/>
      <c r="F126" s="4"/>
    </row>
    <row r="127">
      <c r="C127" s="1" t="s">
        <v>137</v>
      </c>
      <c r="E127" s="3"/>
      <c r="F127" s="4"/>
    </row>
    <row r="128">
      <c r="C128" s="1" t="s">
        <v>138</v>
      </c>
      <c r="E128" s="3"/>
      <c r="F128" s="4"/>
    </row>
    <row r="129">
      <c r="C129" s="1" t="s">
        <v>139</v>
      </c>
      <c r="E129" s="3"/>
      <c r="F129" s="4"/>
    </row>
    <row r="130">
      <c r="E130" s="3"/>
      <c r="F130" s="4"/>
    </row>
    <row r="131">
      <c r="E131" s="3"/>
      <c r="F131" s="4"/>
    </row>
    <row r="132">
      <c r="B132" s="1" t="s">
        <v>140</v>
      </c>
      <c r="C132" s="1" t="s">
        <v>141</v>
      </c>
      <c r="D132" s="1" t="s">
        <v>13</v>
      </c>
      <c r="E132" s="3">
        <v>19.2</v>
      </c>
      <c r="F132" s="4">
        <v>1440000.0</v>
      </c>
      <c r="G132" s="2">
        <f>F132*E132</f>
        <v>27648000</v>
      </c>
    </row>
    <row r="133">
      <c r="C133" s="1" t="s">
        <v>142</v>
      </c>
      <c r="E133" s="3"/>
      <c r="F133" s="4"/>
    </row>
    <row r="134">
      <c r="E134" s="3"/>
      <c r="F134" s="4"/>
    </row>
    <row r="135">
      <c r="B135" s="1" t="s">
        <v>140</v>
      </c>
      <c r="C135" s="1" t="s">
        <v>141</v>
      </c>
      <c r="D135" s="1" t="s">
        <v>13</v>
      </c>
      <c r="E135" s="3">
        <v>12.84</v>
      </c>
      <c r="F135" s="4">
        <v>1440000.0</v>
      </c>
      <c r="G135" s="2">
        <f>F135*E135</f>
        <v>18489600</v>
      </c>
    </row>
    <row r="136">
      <c r="C136" s="1" t="s">
        <v>142</v>
      </c>
      <c r="E136" s="3"/>
      <c r="F136" s="4"/>
    </row>
    <row r="137">
      <c r="E137" s="3"/>
      <c r="F137" s="4"/>
    </row>
    <row r="138">
      <c r="B138" s="1" t="s">
        <v>143</v>
      </c>
      <c r="C138" s="1" t="s">
        <v>135</v>
      </c>
      <c r="D138" s="1" t="s">
        <v>24</v>
      </c>
      <c r="E138" s="3">
        <v>1.0</v>
      </c>
      <c r="F138" s="4">
        <v>5980200.0</v>
      </c>
      <c r="G138" s="2">
        <f>F138*E138</f>
        <v>5980200</v>
      </c>
    </row>
    <row r="139">
      <c r="C139" s="1" t="s">
        <v>144</v>
      </c>
      <c r="E139" s="3"/>
      <c r="F139" s="4"/>
    </row>
    <row r="140">
      <c r="C140" s="1" t="s">
        <v>145</v>
      </c>
      <c r="E140" s="3"/>
      <c r="F140" s="4"/>
    </row>
    <row r="141">
      <c r="C141" s="1" t="s">
        <v>146</v>
      </c>
      <c r="E141" s="3"/>
      <c r="F141" s="4"/>
    </row>
    <row r="142">
      <c r="C142" s="1" t="s">
        <v>147</v>
      </c>
      <c r="E142" s="3"/>
      <c r="F142" s="4"/>
    </row>
    <row r="143">
      <c r="E143" s="3"/>
      <c r="F143" s="4"/>
    </row>
    <row r="144">
      <c r="B144" s="1" t="s">
        <v>148</v>
      </c>
      <c r="C144" s="1" t="s">
        <v>135</v>
      </c>
      <c r="D144" s="1" t="s">
        <v>24</v>
      </c>
      <c r="E144" s="3">
        <v>1.0</v>
      </c>
      <c r="F144" s="4">
        <v>5837600.0</v>
      </c>
      <c r="G144" s="2">
        <f>F144*E144</f>
        <v>5837600</v>
      </c>
    </row>
    <row r="145">
      <c r="C145" s="1" t="s">
        <v>149</v>
      </c>
      <c r="E145" s="3"/>
      <c r="F145" s="4"/>
    </row>
    <row r="146">
      <c r="C146" s="1" t="s">
        <v>146</v>
      </c>
      <c r="E146" s="3"/>
      <c r="F146" s="4"/>
    </row>
    <row r="147">
      <c r="E147" s="3"/>
      <c r="F147" s="4"/>
    </row>
    <row r="148">
      <c r="B148" s="1" t="s">
        <v>150</v>
      </c>
      <c r="C148" s="1" t="s">
        <v>135</v>
      </c>
      <c r="D148" s="1" t="s">
        <v>24</v>
      </c>
      <c r="E148" s="3">
        <v>1.0</v>
      </c>
      <c r="F148" s="4">
        <v>5418500.0</v>
      </c>
      <c r="G148" s="2">
        <f>F148*E148</f>
        <v>5418500</v>
      </c>
    </row>
    <row r="149">
      <c r="C149" s="1" t="s">
        <v>149</v>
      </c>
      <c r="E149" s="3"/>
      <c r="F149" s="4"/>
    </row>
    <row r="150">
      <c r="C150" s="1" t="s">
        <v>146</v>
      </c>
      <c r="E150" s="3"/>
      <c r="F150" s="4"/>
    </row>
    <row r="151">
      <c r="E151" s="3"/>
      <c r="F151" s="4"/>
    </row>
    <row r="152">
      <c r="B152" s="1" t="s">
        <v>151</v>
      </c>
      <c r="C152" s="1" t="s">
        <v>135</v>
      </c>
      <c r="D152" s="1" t="s">
        <v>24</v>
      </c>
      <c r="E152" s="3">
        <v>1.0</v>
      </c>
      <c r="F152" s="4">
        <v>8089400.0</v>
      </c>
      <c r="G152" s="2">
        <f>F152*E152</f>
        <v>8089400</v>
      </c>
    </row>
    <row r="153">
      <c r="C153" s="1" t="s">
        <v>149</v>
      </c>
    </row>
    <row r="154">
      <c r="C154" s="1" t="s">
        <v>146</v>
      </c>
    </row>
    <row r="156">
      <c r="B156" s="1" t="s">
        <v>152</v>
      </c>
    </row>
    <row r="157">
      <c r="B157" s="1" t="s">
        <v>153</v>
      </c>
      <c r="C157" s="1" t="s">
        <v>154</v>
      </c>
      <c r="D157" s="1" t="s">
        <v>24</v>
      </c>
      <c r="E157" s="3">
        <v>3.0</v>
      </c>
      <c r="F157" s="4">
        <v>1647100.0</v>
      </c>
      <c r="G157" s="2">
        <f t="shared" ref="G157:G159" si="17">F157*E157</f>
        <v>4941300</v>
      </c>
    </row>
    <row r="158">
      <c r="B158" s="1" t="s">
        <v>155</v>
      </c>
      <c r="C158" s="1" t="s">
        <v>156</v>
      </c>
      <c r="D158" s="1" t="s">
        <v>24</v>
      </c>
      <c r="E158" s="3">
        <v>2.0</v>
      </c>
      <c r="F158" s="4">
        <v>1352900.0</v>
      </c>
      <c r="G158" s="2">
        <f t="shared" si="17"/>
        <v>2705800</v>
      </c>
    </row>
    <row r="159">
      <c r="B159" s="1" t="s">
        <v>157</v>
      </c>
      <c r="C159" s="1" t="s">
        <v>154</v>
      </c>
      <c r="D159" s="1" t="s">
        <v>24</v>
      </c>
      <c r="E159" s="3">
        <v>1.0</v>
      </c>
      <c r="F159" s="4">
        <v>3189400.0</v>
      </c>
      <c r="G159" s="2">
        <f t="shared" si="17"/>
        <v>3189400</v>
      </c>
    </row>
    <row r="160">
      <c r="E160" s="3"/>
      <c r="F160" s="4"/>
    </row>
    <row r="161">
      <c r="B161" s="1" t="s">
        <v>158</v>
      </c>
      <c r="E161" s="3"/>
      <c r="F161" s="4"/>
      <c r="H161" s="2">
        <f>sum(G163:G184)</f>
        <v>49456405</v>
      </c>
    </row>
    <row r="162">
      <c r="B162" s="1" t="s">
        <v>159</v>
      </c>
      <c r="E162" s="3"/>
      <c r="F162" s="4"/>
    </row>
    <row r="163">
      <c r="B163" s="1" t="s">
        <v>160</v>
      </c>
      <c r="C163" s="1" t="s">
        <v>161</v>
      </c>
      <c r="D163" s="1" t="s">
        <v>11</v>
      </c>
      <c r="E163" s="1">
        <v>29.36</v>
      </c>
      <c r="F163" s="4">
        <v>36100.0</v>
      </c>
      <c r="G163" s="2">
        <f t="shared" ref="G163:G172" si="18">F163*E163</f>
        <v>1059896</v>
      </c>
    </row>
    <row r="164">
      <c r="B164" s="1" t="s">
        <v>162</v>
      </c>
      <c r="C164" s="1" t="s">
        <v>163</v>
      </c>
      <c r="D164" s="1" t="s">
        <v>11</v>
      </c>
      <c r="E164" s="1">
        <v>24.56</v>
      </c>
      <c r="F164" s="4">
        <v>177000.0</v>
      </c>
      <c r="G164" s="2">
        <f t="shared" si="18"/>
        <v>4347120</v>
      </c>
    </row>
    <row r="165">
      <c r="B165" s="1" t="s">
        <v>164</v>
      </c>
      <c r="C165" s="1" t="s">
        <v>165</v>
      </c>
      <c r="D165" s="1" t="s">
        <v>11</v>
      </c>
      <c r="E165" s="1">
        <v>14.93</v>
      </c>
      <c r="F165" s="4">
        <v>47700.0</v>
      </c>
      <c r="G165" s="2">
        <f t="shared" si="18"/>
        <v>712161</v>
      </c>
    </row>
    <row r="166">
      <c r="B166" s="1" t="s">
        <v>166</v>
      </c>
      <c r="C166" s="1" t="s">
        <v>167</v>
      </c>
      <c r="D166" s="1" t="s">
        <v>11</v>
      </c>
      <c r="E166" s="1">
        <v>24.56</v>
      </c>
      <c r="F166" s="4">
        <v>74300.0</v>
      </c>
      <c r="G166" s="2">
        <f t="shared" si="18"/>
        <v>1824808</v>
      </c>
    </row>
    <row r="167">
      <c r="B167" s="1" t="s">
        <v>168</v>
      </c>
      <c r="C167" s="1" t="s">
        <v>163</v>
      </c>
      <c r="D167" s="1" t="s">
        <v>11</v>
      </c>
      <c r="E167" s="1">
        <v>37.86</v>
      </c>
      <c r="F167" s="4">
        <v>177000.0</v>
      </c>
      <c r="G167" s="2">
        <f t="shared" si="18"/>
        <v>6701220</v>
      </c>
    </row>
    <row r="168">
      <c r="B168" s="1" t="s">
        <v>169</v>
      </c>
      <c r="D168" s="1" t="s">
        <v>21</v>
      </c>
      <c r="E168" s="3">
        <v>1.0</v>
      </c>
      <c r="F168" s="4">
        <v>4597700.0</v>
      </c>
      <c r="G168" s="2">
        <f t="shared" si="18"/>
        <v>4597700</v>
      </c>
    </row>
    <row r="169">
      <c r="B169" s="1" t="s">
        <v>170</v>
      </c>
      <c r="D169" s="1" t="s">
        <v>21</v>
      </c>
      <c r="E169" s="3">
        <v>1.0</v>
      </c>
      <c r="F169" s="4">
        <v>5172400.0</v>
      </c>
      <c r="G169" s="2">
        <f t="shared" si="18"/>
        <v>5172400</v>
      </c>
    </row>
    <row r="170">
      <c r="B170" s="1" t="s">
        <v>171</v>
      </c>
      <c r="C170" s="1" t="s">
        <v>172</v>
      </c>
      <c r="D170" s="1" t="s">
        <v>24</v>
      </c>
      <c r="E170" s="3">
        <v>6.0</v>
      </c>
      <c r="F170" s="4">
        <v>316100.0</v>
      </c>
      <c r="G170" s="2">
        <f t="shared" si="18"/>
        <v>1896600</v>
      </c>
    </row>
    <row r="171">
      <c r="B171" s="1" t="s">
        <v>173</v>
      </c>
      <c r="C171" s="1" t="s">
        <v>172</v>
      </c>
      <c r="D171" s="1" t="s">
        <v>24</v>
      </c>
      <c r="E171" s="3">
        <v>6.0</v>
      </c>
      <c r="F171" s="4">
        <v>316100.0</v>
      </c>
      <c r="G171" s="2">
        <f t="shared" si="18"/>
        <v>1896600</v>
      </c>
    </row>
    <row r="172">
      <c r="B172" s="1" t="s">
        <v>174</v>
      </c>
      <c r="C172" s="1" t="s">
        <v>175</v>
      </c>
      <c r="D172" s="1" t="s">
        <v>24</v>
      </c>
      <c r="E172" s="3">
        <v>7.0</v>
      </c>
      <c r="F172" s="4">
        <v>201100.0</v>
      </c>
      <c r="G172" s="2">
        <f t="shared" si="18"/>
        <v>1407700</v>
      </c>
    </row>
    <row r="173">
      <c r="E173" s="3"/>
      <c r="F173" s="4"/>
    </row>
    <row r="174">
      <c r="B174" s="1" t="s">
        <v>176</v>
      </c>
      <c r="E174" s="3"/>
      <c r="F174" s="4"/>
    </row>
    <row r="175">
      <c r="B175" s="1" t="s">
        <v>177</v>
      </c>
      <c r="C175" s="1" t="s">
        <v>178</v>
      </c>
      <c r="D175" s="1" t="s">
        <v>24</v>
      </c>
      <c r="E175" s="3">
        <v>2.0</v>
      </c>
      <c r="F175" s="4">
        <v>2592700.0</v>
      </c>
      <c r="G175" s="2">
        <f t="shared" ref="G175:G179" si="19">F175*E175</f>
        <v>5185400</v>
      </c>
    </row>
    <row r="176">
      <c r="B176" s="1" t="s">
        <v>180</v>
      </c>
      <c r="C176" s="1" t="s">
        <v>181</v>
      </c>
      <c r="D176" s="1" t="s">
        <v>24</v>
      </c>
      <c r="E176" s="3">
        <v>2.0</v>
      </c>
      <c r="F176" s="4">
        <v>263200.0</v>
      </c>
      <c r="G176" s="2">
        <f t="shared" si="19"/>
        <v>526400</v>
      </c>
    </row>
    <row r="177">
      <c r="B177" s="1" t="s">
        <v>182</v>
      </c>
      <c r="C177" s="1" t="s">
        <v>183</v>
      </c>
      <c r="D177" s="1" t="s">
        <v>24</v>
      </c>
      <c r="E177" s="3">
        <v>2.0</v>
      </c>
      <c r="F177" s="4">
        <v>1424400.0</v>
      </c>
      <c r="G177" s="2">
        <f t="shared" si="19"/>
        <v>2848800</v>
      </c>
    </row>
    <row r="178">
      <c r="B178" s="1" t="s">
        <v>184</v>
      </c>
      <c r="C178" s="1" t="s">
        <v>185</v>
      </c>
      <c r="D178" s="1" t="s">
        <v>24</v>
      </c>
      <c r="E178" s="3">
        <v>2.0</v>
      </c>
      <c r="F178" s="4">
        <v>363500.0</v>
      </c>
      <c r="G178" s="2">
        <f t="shared" si="19"/>
        <v>727000</v>
      </c>
    </row>
    <row r="179">
      <c r="B179" s="1" t="s">
        <v>186</v>
      </c>
      <c r="C179" s="1" t="s">
        <v>187</v>
      </c>
      <c r="D179" s="1" t="s">
        <v>24</v>
      </c>
      <c r="E179" s="3">
        <v>2.0</v>
      </c>
      <c r="F179" s="4">
        <v>276300.0</v>
      </c>
      <c r="G179" s="2">
        <f t="shared" si="19"/>
        <v>552600</v>
      </c>
    </row>
    <row r="180">
      <c r="E180" s="3"/>
      <c r="F180" s="4"/>
    </row>
    <row r="181">
      <c r="B181" s="1" t="s">
        <v>188</v>
      </c>
      <c r="E181" s="3"/>
      <c r="F181" s="4"/>
    </row>
    <row r="182">
      <c r="B182" s="1" t="s">
        <v>189</v>
      </c>
      <c r="C182" s="1" t="s">
        <v>190</v>
      </c>
      <c r="D182" s="1" t="s">
        <v>24</v>
      </c>
      <c r="E182" s="3">
        <v>1.0</v>
      </c>
      <c r="F182" s="4">
        <v>3620700.0</v>
      </c>
      <c r="G182" s="2">
        <f t="shared" ref="G182:G184" si="20">F182*E182</f>
        <v>3620700</v>
      </c>
    </row>
    <row r="183">
      <c r="B183" s="1" t="s">
        <v>191</v>
      </c>
      <c r="C183" s="1" t="s">
        <v>192</v>
      </c>
      <c r="D183" s="1" t="s">
        <v>24</v>
      </c>
      <c r="E183" s="3">
        <v>1.0</v>
      </c>
      <c r="F183" s="4">
        <v>2183900.0</v>
      </c>
      <c r="G183" s="2">
        <f t="shared" si="20"/>
        <v>2183900</v>
      </c>
    </row>
    <row r="184">
      <c r="B184" s="1" t="s">
        <v>193</v>
      </c>
      <c r="C184" s="1" t="s">
        <v>194</v>
      </c>
      <c r="D184" s="1" t="s">
        <v>24</v>
      </c>
      <c r="E184" s="3">
        <v>1.0</v>
      </c>
      <c r="F184" s="4">
        <v>4195400.0</v>
      </c>
      <c r="G184" s="2">
        <f t="shared" si="20"/>
        <v>4195400</v>
      </c>
    </row>
    <row r="185">
      <c r="E185" s="3"/>
      <c r="F185" s="4"/>
    </row>
    <row r="186">
      <c r="B186" s="1" t="s">
        <v>195</v>
      </c>
      <c r="E186" s="3"/>
      <c r="F186" s="4"/>
      <c r="H186" s="2">
        <f>sum(G188:G203)</f>
        <v>28960019</v>
      </c>
    </row>
    <row r="187">
      <c r="B187" s="1" t="s">
        <v>159</v>
      </c>
      <c r="E187" s="3"/>
      <c r="F187" s="4"/>
    </row>
    <row r="188">
      <c r="B188" s="1" t="s">
        <v>196</v>
      </c>
      <c r="C188" s="1" t="s">
        <v>197</v>
      </c>
      <c r="D188" s="1" t="s">
        <v>32</v>
      </c>
      <c r="E188" s="1">
        <v>51.33</v>
      </c>
      <c r="F188" s="4">
        <v>213800.0</v>
      </c>
      <c r="G188" s="2">
        <f t="shared" ref="G188:G190" si="21">F188*E188</f>
        <v>10974354</v>
      </c>
    </row>
    <row r="189">
      <c r="B189" s="1" t="s">
        <v>199</v>
      </c>
      <c r="C189" s="1" t="s">
        <v>197</v>
      </c>
      <c r="D189" s="1" t="s">
        <v>32</v>
      </c>
      <c r="E189" s="1">
        <v>10.0</v>
      </c>
      <c r="F189" s="4">
        <v>248300.0</v>
      </c>
      <c r="G189" s="2">
        <f t="shared" si="21"/>
        <v>2483000</v>
      </c>
    </row>
    <row r="190">
      <c r="B190" s="1" t="s">
        <v>200</v>
      </c>
      <c r="C190" s="1" t="s">
        <v>197</v>
      </c>
      <c r="D190" s="1" t="s">
        <v>32</v>
      </c>
      <c r="E190" s="1">
        <v>4.0</v>
      </c>
      <c r="F190" s="4">
        <v>248300.0</v>
      </c>
      <c r="G190" s="2">
        <f t="shared" si="21"/>
        <v>993200</v>
      </c>
    </row>
    <row r="191">
      <c r="E191" s="3"/>
      <c r="F191" s="4"/>
    </row>
    <row r="192">
      <c r="B192" s="1" t="s">
        <v>201</v>
      </c>
      <c r="E192" s="3"/>
      <c r="F192" s="4"/>
    </row>
    <row r="193">
      <c r="B193" s="1" t="s">
        <v>202</v>
      </c>
      <c r="C193" s="1" t="s">
        <v>203</v>
      </c>
      <c r="D193" s="1" t="s">
        <v>24</v>
      </c>
      <c r="E193" s="1">
        <v>51.33</v>
      </c>
      <c r="F193" s="4">
        <v>133300.0</v>
      </c>
      <c r="G193" s="2">
        <f t="shared" ref="G193:G197" si="22">F193*E193</f>
        <v>6842289</v>
      </c>
    </row>
    <row r="194">
      <c r="B194" s="1" t="s">
        <v>204</v>
      </c>
      <c r="C194" s="1" t="s">
        <v>205</v>
      </c>
      <c r="D194" s="1" t="s">
        <v>24</v>
      </c>
      <c r="E194" s="1">
        <v>4.0</v>
      </c>
      <c r="F194" s="4">
        <v>173600.0</v>
      </c>
      <c r="G194" s="2">
        <f t="shared" si="22"/>
        <v>694400</v>
      </c>
    </row>
    <row r="195">
      <c r="B195" s="1" t="s">
        <v>206</v>
      </c>
      <c r="C195" s="1" t="s">
        <v>205</v>
      </c>
      <c r="D195" s="1" t="s">
        <v>24</v>
      </c>
      <c r="E195" s="1">
        <v>0.66</v>
      </c>
      <c r="F195" s="4">
        <v>173600.0</v>
      </c>
      <c r="G195" s="2">
        <f t="shared" si="22"/>
        <v>114576</v>
      </c>
    </row>
    <row r="196">
      <c r="B196" s="1" t="s">
        <v>207</v>
      </c>
      <c r="C196" s="1" t="s">
        <v>205</v>
      </c>
      <c r="D196" s="1" t="s">
        <v>24</v>
      </c>
      <c r="E196" s="1">
        <v>10.0</v>
      </c>
      <c r="F196" s="4">
        <v>173600.0</v>
      </c>
      <c r="G196" s="2">
        <f t="shared" si="22"/>
        <v>1736000</v>
      </c>
    </row>
    <row r="197">
      <c r="B197" s="1" t="s">
        <v>208</v>
      </c>
      <c r="C197" s="1" t="s">
        <v>205</v>
      </c>
      <c r="D197" s="1" t="s">
        <v>24</v>
      </c>
      <c r="E197" s="1">
        <v>4.0</v>
      </c>
      <c r="F197" s="4">
        <v>173600.0</v>
      </c>
      <c r="G197" s="2">
        <f t="shared" si="22"/>
        <v>694400</v>
      </c>
    </row>
    <row r="198">
      <c r="E198" s="3"/>
      <c r="F198" s="4"/>
    </row>
    <row r="199">
      <c r="B199" s="1" t="s">
        <v>209</v>
      </c>
      <c r="E199" s="3"/>
      <c r="F199" s="4"/>
    </row>
    <row r="200">
      <c r="B200" s="1" t="s">
        <v>210</v>
      </c>
      <c r="C200" s="1" t="s">
        <v>211</v>
      </c>
      <c r="D200" s="1" t="s">
        <v>24</v>
      </c>
      <c r="E200" s="3">
        <v>1.0</v>
      </c>
      <c r="F200" s="4">
        <v>327600.0</v>
      </c>
      <c r="G200" s="2">
        <f t="shared" ref="G200:G203" si="23">F200*E200</f>
        <v>327600</v>
      </c>
    </row>
    <row r="201">
      <c r="B201" s="1" t="s">
        <v>210</v>
      </c>
      <c r="C201" s="1" t="s">
        <v>212</v>
      </c>
      <c r="D201" s="1" t="s">
        <v>24</v>
      </c>
      <c r="E201" s="3">
        <v>2.0</v>
      </c>
      <c r="F201" s="4">
        <v>289700.0</v>
      </c>
      <c r="G201" s="2">
        <f t="shared" si="23"/>
        <v>579400</v>
      </c>
    </row>
    <row r="202">
      <c r="B202" s="1" t="s">
        <v>213</v>
      </c>
      <c r="C202" s="1" t="s">
        <v>214</v>
      </c>
      <c r="D202" s="1" t="s">
        <v>215</v>
      </c>
      <c r="E202" s="3">
        <v>24.0</v>
      </c>
      <c r="F202" s="4">
        <v>95400.0</v>
      </c>
      <c r="G202" s="2">
        <f t="shared" si="23"/>
        <v>2289600</v>
      </c>
    </row>
    <row r="203">
      <c r="B203" s="1" t="s">
        <v>216</v>
      </c>
      <c r="C203" s="1" t="s">
        <v>217</v>
      </c>
      <c r="D203" s="1" t="s">
        <v>11</v>
      </c>
      <c r="E203" s="3">
        <v>11.4</v>
      </c>
      <c r="F203" s="4">
        <v>108000.0</v>
      </c>
      <c r="G203" s="2">
        <f t="shared" si="23"/>
        <v>1231200</v>
      </c>
    </row>
    <row r="206">
      <c r="B206" s="22" t="s">
        <v>218</v>
      </c>
      <c r="H206" s="2">
        <f>sum(H2:H203)</f>
        <v>720901013.8</v>
      </c>
    </row>
    <row r="207">
      <c r="B207" s="22" t="s">
        <v>219</v>
      </c>
      <c r="H207" s="2">
        <f>H206*0.1</f>
        <v>72090101.38</v>
      </c>
    </row>
    <row r="208">
      <c r="B208" s="22" t="s">
        <v>220</v>
      </c>
      <c r="H208" s="2">
        <f>H206+H207</f>
        <v>792991115.1</v>
      </c>
    </row>
    <row r="209">
      <c r="B209" s="22" t="s">
        <v>221</v>
      </c>
      <c r="H209" s="4">
        <v>7.93E8</v>
      </c>
      <c r="J209" s="1" t="s">
        <v>224</v>
      </c>
      <c r="K209" s="23">
        <f>H209/'Ruko 3lt'!H221</f>
        <v>0.6720338983</v>
      </c>
    </row>
  </sheetData>
  <mergeCells count="4">
    <mergeCell ref="B206:G206"/>
    <mergeCell ref="B207:G207"/>
    <mergeCell ref="B208:G208"/>
    <mergeCell ref="B209:G2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6.0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18.43"/>
    <col customWidth="1" min="10" max="10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H2" s="2">
        <f>sum(G3:G9)</f>
        <v>31845900</v>
      </c>
    </row>
    <row r="3">
      <c r="B3" s="1" t="s">
        <v>9</v>
      </c>
      <c r="C3" s="1" t="s">
        <v>10</v>
      </c>
      <c r="D3" s="1" t="s">
        <v>11</v>
      </c>
      <c r="E3" s="3">
        <v>40.0</v>
      </c>
      <c r="F3" s="4">
        <v>17400.0</v>
      </c>
      <c r="G3" s="2">
        <f t="shared" ref="G3:G9" si="1">F3*I3</f>
        <v>1044000</v>
      </c>
      <c r="I3" s="24">
        <f t="shared" ref="I3:I9" si="2">E3*1.5</f>
        <v>60</v>
      </c>
    </row>
    <row r="4">
      <c r="B4" s="1" t="s">
        <v>12</v>
      </c>
      <c r="D4" s="1" t="s">
        <v>13</v>
      </c>
      <c r="E4" s="3">
        <v>30.0</v>
      </c>
      <c r="F4" s="4">
        <v>150700.0</v>
      </c>
      <c r="G4" s="2">
        <f t="shared" si="1"/>
        <v>6781500</v>
      </c>
      <c r="I4" s="24">
        <f t="shared" si="2"/>
        <v>45</v>
      </c>
    </row>
    <row r="5">
      <c r="B5" s="1" t="s">
        <v>14</v>
      </c>
      <c r="D5" s="1" t="s">
        <v>13</v>
      </c>
      <c r="E5" s="3">
        <v>30.0</v>
      </c>
      <c r="F5" s="4">
        <v>150700.0</v>
      </c>
      <c r="G5" s="2">
        <f t="shared" si="1"/>
        <v>6781500</v>
      </c>
      <c r="I5" s="24">
        <f t="shared" si="2"/>
        <v>45</v>
      </c>
    </row>
    <row r="6">
      <c r="B6" s="1" t="s">
        <v>15</v>
      </c>
      <c r="D6" s="1" t="s">
        <v>16</v>
      </c>
      <c r="E6" s="3">
        <v>6.0</v>
      </c>
      <c r="F6" s="4">
        <v>340900.0</v>
      </c>
      <c r="G6" s="2">
        <f t="shared" si="1"/>
        <v>3068100</v>
      </c>
      <c r="I6" s="24">
        <f t="shared" si="2"/>
        <v>9</v>
      </c>
    </row>
    <row r="7">
      <c r="B7" s="1" t="s">
        <v>17</v>
      </c>
      <c r="C7" s="1" t="s">
        <v>18</v>
      </c>
      <c r="D7" s="1" t="s">
        <v>16</v>
      </c>
      <c r="E7" s="3">
        <v>6.0</v>
      </c>
      <c r="F7" s="4">
        <v>712800.0</v>
      </c>
      <c r="G7" s="2">
        <f t="shared" si="1"/>
        <v>6415200</v>
      </c>
      <c r="I7" s="24">
        <f t="shared" si="2"/>
        <v>9</v>
      </c>
    </row>
    <row r="8">
      <c r="B8" s="1" t="s">
        <v>19</v>
      </c>
      <c r="C8" s="1" t="s">
        <v>20</v>
      </c>
      <c r="D8" s="1" t="s">
        <v>21</v>
      </c>
      <c r="E8" s="3">
        <v>96.0</v>
      </c>
      <c r="F8" s="4">
        <v>11600.0</v>
      </c>
      <c r="G8" s="2">
        <f t="shared" si="1"/>
        <v>1670400</v>
      </c>
      <c r="I8" s="24">
        <f t="shared" si="2"/>
        <v>144</v>
      </c>
    </row>
    <row r="9">
      <c r="B9" s="1" t="s">
        <v>22</v>
      </c>
      <c r="C9" s="1" t="s">
        <v>23</v>
      </c>
      <c r="D9" s="1" t="s">
        <v>24</v>
      </c>
      <c r="E9" s="3">
        <v>1.0</v>
      </c>
      <c r="F9" s="4">
        <v>4056800.0</v>
      </c>
      <c r="G9" s="2">
        <f t="shared" si="1"/>
        <v>6085200</v>
      </c>
      <c r="I9" s="24">
        <f t="shared" si="2"/>
        <v>1.5</v>
      </c>
    </row>
    <row r="11">
      <c r="A11" s="1">
        <v>2.0</v>
      </c>
      <c r="B11" s="1" t="s">
        <v>25</v>
      </c>
      <c r="H11" s="25"/>
    </row>
    <row r="12">
      <c r="B12" s="1" t="s">
        <v>26</v>
      </c>
      <c r="H12" s="2">
        <f>sum(G13:G44)</f>
        <v>212854467</v>
      </c>
    </row>
    <row r="13">
      <c r="B13" s="1" t="s">
        <v>27</v>
      </c>
      <c r="C13" s="1" t="s">
        <v>28</v>
      </c>
      <c r="D13" s="1" t="s">
        <v>11</v>
      </c>
      <c r="E13" s="3">
        <v>156.0</v>
      </c>
      <c r="F13" s="4">
        <v>396000.0</v>
      </c>
      <c r="G13" s="2">
        <f>F13*I13</f>
        <v>92664000</v>
      </c>
      <c r="I13" s="24">
        <f>E13*1.5</f>
        <v>234</v>
      </c>
    </row>
    <row r="14">
      <c r="C14" s="1" t="s">
        <v>29</v>
      </c>
      <c r="E14" s="5"/>
      <c r="F14" s="2"/>
    </row>
    <row r="15">
      <c r="C15" s="1" t="s">
        <v>30</v>
      </c>
      <c r="E15" s="5"/>
      <c r="F15" s="2"/>
    </row>
    <row r="16">
      <c r="B16" s="1" t="s">
        <v>31</v>
      </c>
      <c r="D16" s="1" t="s">
        <v>32</v>
      </c>
      <c r="E16" s="3">
        <v>13.0</v>
      </c>
      <c r="F16" s="4">
        <v>60000.0</v>
      </c>
      <c r="G16" s="2">
        <f>F16*I16</f>
        <v>1170000</v>
      </c>
      <c r="I16" s="24">
        <f>E16*1.5</f>
        <v>19.5</v>
      </c>
    </row>
    <row r="18">
      <c r="B18" s="1" t="s">
        <v>33</v>
      </c>
    </row>
    <row r="19">
      <c r="B19" s="1" t="s">
        <v>34</v>
      </c>
    </row>
    <row r="20">
      <c r="B20" s="1" t="s">
        <v>35</v>
      </c>
      <c r="D20" s="1" t="s">
        <v>36</v>
      </c>
      <c r="E20" s="3">
        <v>13.6</v>
      </c>
      <c r="F20" s="4">
        <v>93800.0</v>
      </c>
      <c r="G20" s="2">
        <f t="shared" ref="G20:G26" si="3">F20*I20</f>
        <v>1913520</v>
      </c>
      <c r="I20" s="24">
        <f t="shared" ref="I20:I26" si="4">E20*1.5</f>
        <v>20.4</v>
      </c>
    </row>
    <row r="21">
      <c r="B21" s="1" t="s">
        <v>37</v>
      </c>
      <c r="C21" s="1" t="s">
        <v>38</v>
      </c>
      <c r="D21" s="1" t="s">
        <v>13</v>
      </c>
      <c r="E21" s="3">
        <v>8.01</v>
      </c>
      <c r="F21" s="4">
        <v>30000.0</v>
      </c>
      <c r="G21" s="2">
        <f t="shared" si="3"/>
        <v>360450</v>
      </c>
      <c r="I21" s="24">
        <f t="shared" si="4"/>
        <v>12.015</v>
      </c>
    </row>
    <row r="22">
      <c r="B22" s="1" t="s">
        <v>39</v>
      </c>
      <c r="C22" s="1" t="s">
        <v>40</v>
      </c>
      <c r="D22" s="1" t="s">
        <v>36</v>
      </c>
      <c r="E22" s="3">
        <v>0.8</v>
      </c>
      <c r="F22" s="4">
        <v>549600.0</v>
      </c>
      <c r="G22" s="2">
        <f t="shared" si="3"/>
        <v>659520</v>
      </c>
      <c r="I22" s="24">
        <f t="shared" si="4"/>
        <v>1.2</v>
      </c>
    </row>
    <row r="23">
      <c r="B23" s="1" t="s">
        <v>41</v>
      </c>
      <c r="C23" s="1" t="s">
        <v>42</v>
      </c>
      <c r="D23" s="1" t="s">
        <v>36</v>
      </c>
      <c r="E23" s="3">
        <v>0.4</v>
      </c>
      <c r="F23" s="4">
        <v>751500.0</v>
      </c>
      <c r="G23" s="2">
        <f t="shared" si="3"/>
        <v>450900</v>
      </c>
      <c r="I23" s="24">
        <f t="shared" si="4"/>
        <v>0.6</v>
      </c>
    </row>
    <row r="24">
      <c r="B24" s="1" t="s">
        <v>43</v>
      </c>
      <c r="C24" s="1" t="s">
        <v>44</v>
      </c>
      <c r="D24" s="1" t="s">
        <v>13</v>
      </c>
      <c r="E24" s="3">
        <v>18.53</v>
      </c>
      <c r="F24" s="4">
        <v>114600.0</v>
      </c>
      <c r="G24" s="2">
        <f t="shared" si="3"/>
        <v>3185307</v>
      </c>
      <c r="I24" s="24">
        <f t="shared" si="4"/>
        <v>27.795</v>
      </c>
    </row>
    <row r="25">
      <c r="B25" s="1" t="s">
        <v>45</v>
      </c>
      <c r="C25" s="1" t="s">
        <v>46</v>
      </c>
      <c r="D25" s="1" t="s">
        <v>47</v>
      </c>
      <c r="E25" s="3">
        <v>1207.74</v>
      </c>
      <c r="F25" s="4">
        <v>13000.0</v>
      </c>
      <c r="G25" s="2">
        <f t="shared" si="3"/>
        <v>23550930</v>
      </c>
      <c r="I25" s="24">
        <f t="shared" si="4"/>
        <v>1811.61</v>
      </c>
    </row>
    <row r="26">
      <c r="B26" s="1" t="s">
        <v>48</v>
      </c>
      <c r="C26" s="1" t="s">
        <v>49</v>
      </c>
      <c r="D26" s="1" t="s">
        <v>36</v>
      </c>
      <c r="E26" s="3">
        <v>6.28</v>
      </c>
      <c r="F26" s="4">
        <v>1238700.0</v>
      </c>
      <c r="G26" s="2">
        <f t="shared" si="3"/>
        <v>11668554</v>
      </c>
      <c r="I26" s="24">
        <f t="shared" si="4"/>
        <v>9.42</v>
      </c>
    </row>
    <row r="28">
      <c r="B28" s="1" t="s">
        <v>50</v>
      </c>
      <c r="D28" s="1" t="s">
        <v>36</v>
      </c>
      <c r="E28" s="3">
        <v>6.48</v>
      </c>
      <c r="F28" s="4">
        <v>96000.0</v>
      </c>
      <c r="G28" s="2">
        <f t="shared" ref="G28:G34" si="5">F28*I28</f>
        <v>933120</v>
      </c>
      <c r="I28" s="24">
        <f t="shared" ref="I28:I34" si="6">E28*1.5</f>
        <v>9.72</v>
      </c>
    </row>
    <row r="29">
      <c r="B29" s="1" t="s">
        <v>35</v>
      </c>
      <c r="C29" s="1" t="s">
        <v>38</v>
      </c>
      <c r="D29" s="1" t="s">
        <v>13</v>
      </c>
      <c r="E29" s="3">
        <v>10.71</v>
      </c>
      <c r="F29" s="4">
        <v>30000.0</v>
      </c>
      <c r="G29" s="2">
        <f t="shared" si="5"/>
        <v>481950</v>
      </c>
      <c r="I29" s="24">
        <f t="shared" si="6"/>
        <v>16.065</v>
      </c>
    </row>
    <row r="30">
      <c r="B30" s="1" t="s">
        <v>37</v>
      </c>
      <c r="C30" s="1" t="s">
        <v>40</v>
      </c>
      <c r="D30" s="1" t="s">
        <v>36</v>
      </c>
      <c r="E30" s="3">
        <v>1.0</v>
      </c>
      <c r="F30" s="4">
        <v>549600.0</v>
      </c>
      <c r="G30" s="2">
        <f t="shared" si="5"/>
        <v>824400</v>
      </c>
      <c r="I30" s="24">
        <f t="shared" si="6"/>
        <v>1.5</v>
      </c>
    </row>
    <row r="31">
      <c r="B31" s="1" t="s">
        <v>39</v>
      </c>
      <c r="C31" s="1" t="s">
        <v>42</v>
      </c>
      <c r="D31" s="1" t="s">
        <v>36</v>
      </c>
      <c r="E31" s="3">
        <v>0.5</v>
      </c>
      <c r="F31" s="4">
        <v>751500.0</v>
      </c>
      <c r="G31" s="2">
        <f t="shared" si="5"/>
        <v>563625</v>
      </c>
      <c r="I31" s="24">
        <f t="shared" si="6"/>
        <v>0.75</v>
      </c>
    </row>
    <row r="32">
      <c r="B32" s="1" t="s">
        <v>41</v>
      </c>
      <c r="C32" s="1" t="s">
        <v>44</v>
      </c>
      <c r="D32" s="1" t="s">
        <v>13</v>
      </c>
      <c r="E32" s="3">
        <v>39.89</v>
      </c>
      <c r="F32" s="4">
        <v>114600.0</v>
      </c>
      <c r="G32" s="2">
        <f t="shared" si="5"/>
        <v>6857091</v>
      </c>
      <c r="I32" s="24">
        <f t="shared" si="6"/>
        <v>59.835</v>
      </c>
    </row>
    <row r="33">
      <c r="B33" s="1" t="s">
        <v>43</v>
      </c>
      <c r="C33" s="1" t="s">
        <v>46</v>
      </c>
      <c r="D33" s="1" t="s">
        <v>47</v>
      </c>
      <c r="E33" s="3">
        <v>329.61</v>
      </c>
      <c r="F33" s="4">
        <v>13000.0</v>
      </c>
      <c r="G33" s="2">
        <f t="shared" si="5"/>
        <v>6427395</v>
      </c>
      <c r="I33" s="24">
        <f t="shared" si="6"/>
        <v>494.415</v>
      </c>
    </row>
    <row r="34">
      <c r="B34" s="1" t="s">
        <v>51</v>
      </c>
      <c r="C34" s="1" t="s">
        <v>49</v>
      </c>
      <c r="D34" s="1" t="s">
        <v>36</v>
      </c>
      <c r="E34" s="3">
        <v>4.99</v>
      </c>
      <c r="F34" s="4">
        <v>1238700.0</v>
      </c>
      <c r="G34" s="2">
        <f t="shared" si="5"/>
        <v>9271669.5</v>
      </c>
      <c r="I34" s="24">
        <f t="shared" si="6"/>
        <v>7.485</v>
      </c>
    </row>
    <row r="35">
      <c r="B35" s="1" t="s">
        <v>52</v>
      </c>
    </row>
    <row r="37">
      <c r="B37" s="1" t="s">
        <v>53</v>
      </c>
    </row>
    <row r="38">
      <c r="B38" s="1" t="s">
        <v>35</v>
      </c>
      <c r="D38" s="1" t="s">
        <v>36</v>
      </c>
      <c r="E38" s="1">
        <v>21.21</v>
      </c>
      <c r="F38" s="4">
        <v>96000.0</v>
      </c>
      <c r="G38" s="2">
        <f t="shared" ref="G38:G44" si="7">F38*I38</f>
        <v>3054240</v>
      </c>
      <c r="I38" s="24">
        <f t="shared" ref="I38:I44" si="8">E38*1.5</f>
        <v>31.815</v>
      </c>
    </row>
    <row r="39">
      <c r="B39" s="1" t="s">
        <v>37</v>
      </c>
      <c r="C39" s="1" t="s">
        <v>38</v>
      </c>
      <c r="D39" s="1" t="s">
        <v>13</v>
      </c>
      <c r="E39" s="1">
        <v>75.78</v>
      </c>
      <c r="F39" s="4">
        <v>30000.0</v>
      </c>
      <c r="G39" s="2">
        <f t="shared" si="7"/>
        <v>3410100</v>
      </c>
      <c r="I39" s="24">
        <f t="shared" si="8"/>
        <v>113.67</v>
      </c>
    </row>
    <row r="40">
      <c r="B40" s="1" t="s">
        <v>39</v>
      </c>
      <c r="C40" s="1" t="s">
        <v>40</v>
      </c>
      <c r="D40" s="1" t="s">
        <v>36</v>
      </c>
      <c r="E40" s="1">
        <v>7.57</v>
      </c>
      <c r="F40" s="4">
        <v>549600.0</v>
      </c>
      <c r="G40" s="2">
        <f t="shared" si="7"/>
        <v>6240708</v>
      </c>
      <c r="I40" s="24">
        <f t="shared" si="8"/>
        <v>11.355</v>
      </c>
    </row>
    <row r="41">
      <c r="B41" s="1" t="s">
        <v>41</v>
      </c>
      <c r="C41" s="1" t="s">
        <v>42</v>
      </c>
      <c r="D41" s="1" t="s">
        <v>36</v>
      </c>
      <c r="E41" s="1">
        <v>3.78</v>
      </c>
      <c r="F41" s="4">
        <v>751500.0</v>
      </c>
      <c r="G41" s="2">
        <f t="shared" si="7"/>
        <v>4261005</v>
      </c>
      <c r="I41" s="24">
        <f t="shared" si="8"/>
        <v>5.67</v>
      </c>
    </row>
    <row r="42">
      <c r="B42" s="1" t="s">
        <v>43</v>
      </c>
      <c r="C42" s="1" t="s">
        <v>44</v>
      </c>
      <c r="D42" s="1" t="s">
        <v>13</v>
      </c>
      <c r="E42" s="1">
        <v>6.0</v>
      </c>
      <c r="F42" s="4">
        <v>114600.0</v>
      </c>
      <c r="G42" s="2">
        <f t="shared" si="7"/>
        <v>1031400</v>
      </c>
      <c r="I42" s="24">
        <f t="shared" si="8"/>
        <v>9</v>
      </c>
    </row>
    <row r="43">
      <c r="B43" s="1" t="s">
        <v>51</v>
      </c>
      <c r="C43" s="1" t="s">
        <v>54</v>
      </c>
      <c r="D43" s="1" t="s">
        <v>13</v>
      </c>
      <c r="E43" s="1">
        <v>75.78</v>
      </c>
      <c r="F43" s="4">
        <v>137000.0</v>
      </c>
      <c r="G43" s="2">
        <f t="shared" si="7"/>
        <v>15572790</v>
      </c>
      <c r="I43" s="24">
        <f t="shared" si="8"/>
        <v>113.67</v>
      </c>
    </row>
    <row r="44">
      <c r="B44" s="1" t="s">
        <v>52</v>
      </c>
      <c r="C44" s="1" t="s">
        <v>49</v>
      </c>
      <c r="D44" s="1" t="s">
        <v>36</v>
      </c>
      <c r="E44" s="1">
        <v>9.85</v>
      </c>
      <c r="F44" s="4">
        <v>1238700.0</v>
      </c>
      <c r="G44" s="2">
        <f t="shared" si="7"/>
        <v>18301792.5</v>
      </c>
      <c r="I44" s="24">
        <f t="shared" si="8"/>
        <v>14.775</v>
      </c>
    </row>
    <row r="45">
      <c r="F45" s="4"/>
    </row>
    <row r="46">
      <c r="A46" s="1">
        <v>3.0</v>
      </c>
      <c r="B46" s="1" t="s">
        <v>55</v>
      </c>
      <c r="F46" s="4"/>
    </row>
    <row r="47">
      <c r="B47" s="1" t="s">
        <v>56</v>
      </c>
      <c r="F47" s="4"/>
      <c r="H47" s="2">
        <f>sum(G48:G89)</f>
        <v>273592218</v>
      </c>
    </row>
    <row r="48">
      <c r="B48" s="1" t="s">
        <v>43</v>
      </c>
      <c r="C48" s="1" t="s">
        <v>57</v>
      </c>
      <c r="D48" s="1" t="s">
        <v>13</v>
      </c>
      <c r="E48" s="1">
        <v>17.95</v>
      </c>
      <c r="F48" s="4">
        <v>114600.0</v>
      </c>
      <c r="G48" s="2">
        <f t="shared" ref="G48:G50" si="9">F48*I48</f>
        <v>3085605</v>
      </c>
      <c r="I48" s="24">
        <f t="shared" ref="I48:I50" si="10">E48*1.5</f>
        <v>26.925</v>
      </c>
    </row>
    <row r="49">
      <c r="B49" s="1" t="s">
        <v>45</v>
      </c>
      <c r="C49" s="1" t="s">
        <v>58</v>
      </c>
      <c r="D49" s="1" t="s">
        <v>47</v>
      </c>
      <c r="E49" s="1">
        <v>517.84</v>
      </c>
      <c r="F49" s="4">
        <v>13000.0</v>
      </c>
      <c r="G49" s="2">
        <f t="shared" si="9"/>
        <v>10097880</v>
      </c>
      <c r="I49" s="24">
        <f t="shared" si="10"/>
        <v>776.76</v>
      </c>
    </row>
    <row r="50">
      <c r="B50" s="1" t="s">
        <v>52</v>
      </c>
      <c r="C50" s="1" t="s">
        <v>59</v>
      </c>
      <c r="D50" s="1" t="s">
        <v>36</v>
      </c>
      <c r="E50" s="1">
        <v>1.84</v>
      </c>
      <c r="F50" s="4">
        <v>1238700.0</v>
      </c>
      <c r="G50" s="2">
        <f t="shared" si="9"/>
        <v>3418812</v>
      </c>
      <c r="I50" s="24">
        <f t="shared" si="10"/>
        <v>2.76</v>
      </c>
    </row>
    <row r="51">
      <c r="E51" s="5"/>
      <c r="F51" s="4"/>
    </row>
    <row r="52">
      <c r="B52" s="1" t="s">
        <v>60</v>
      </c>
      <c r="E52" s="5"/>
      <c r="F52" s="4"/>
    </row>
    <row r="53">
      <c r="B53" s="1" t="s">
        <v>43</v>
      </c>
      <c r="C53" s="1" t="s">
        <v>61</v>
      </c>
      <c r="D53" s="1" t="s">
        <v>13</v>
      </c>
      <c r="E53" s="1">
        <v>38.88</v>
      </c>
      <c r="F53" s="4">
        <v>114600.0</v>
      </c>
      <c r="G53" s="2">
        <f t="shared" ref="G53:G55" si="11">F53*I53</f>
        <v>6683472</v>
      </c>
      <c r="I53" s="24">
        <f t="shared" ref="I53:I55" si="12">E53*1.5</f>
        <v>58.32</v>
      </c>
    </row>
    <row r="54">
      <c r="B54" s="1" t="s">
        <v>45</v>
      </c>
      <c r="C54" s="1" t="s">
        <v>58</v>
      </c>
      <c r="D54" s="1" t="s">
        <v>47</v>
      </c>
      <c r="E54" s="1">
        <v>878.58</v>
      </c>
      <c r="F54" s="4">
        <v>13000.0</v>
      </c>
      <c r="G54" s="2">
        <f t="shared" si="11"/>
        <v>17132310</v>
      </c>
      <c r="I54" s="24">
        <f t="shared" si="12"/>
        <v>1317.87</v>
      </c>
    </row>
    <row r="55">
      <c r="B55" s="1" t="s">
        <v>52</v>
      </c>
      <c r="C55" s="1" t="s">
        <v>62</v>
      </c>
      <c r="D55" s="1" t="s">
        <v>36</v>
      </c>
      <c r="E55" s="1">
        <v>4.74</v>
      </c>
      <c r="F55" s="4">
        <v>1238700.0</v>
      </c>
      <c r="G55" s="2">
        <f t="shared" si="11"/>
        <v>8807157</v>
      </c>
      <c r="I55" s="24">
        <f t="shared" si="12"/>
        <v>7.11</v>
      </c>
    </row>
    <row r="56">
      <c r="F56" s="4"/>
    </row>
    <row r="57">
      <c r="B57" s="1" t="s">
        <v>63</v>
      </c>
      <c r="F57" s="4"/>
    </row>
    <row r="58">
      <c r="B58" s="1" t="s">
        <v>64</v>
      </c>
      <c r="C58" s="1" t="s">
        <v>61</v>
      </c>
      <c r="D58" s="1" t="s">
        <v>13</v>
      </c>
      <c r="E58" s="1">
        <v>2.25</v>
      </c>
      <c r="F58" s="4">
        <v>114600.0</v>
      </c>
      <c r="G58" s="2">
        <f t="shared" ref="G58:G62" si="13">F58*I58</f>
        <v>386775</v>
      </c>
      <c r="I58" s="24">
        <f t="shared" ref="I58:I62" si="14">E58*1.5</f>
        <v>3.375</v>
      </c>
    </row>
    <row r="59">
      <c r="B59" s="1" t="s">
        <v>65</v>
      </c>
      <c r="C59" s="1" t="s">
        <v>66</v>
      </c>
      <c r="D59" s="1" t="s">
        <v>13</v>
      </c>
      <c r="E59" s="1">
        <v>78.78</v>
      </c>
      <c r="F59" s="4">
        <v>198000.0</v>
      </c>
      <c r="G59" s="2">
        <f t="shared" si="13"/>
        <v>23397660</v>
      </c>
      <c r="I59" s="24">
        <f t="shared" si="14"/>
        <v>118.17</v>
      </c>
    </row>
    <row r="60">
      <c r="B60" s="1" t="s">
        <v>51</v>
      </c>
      <c r="C60" s="1" t="s">
        <v>58</v>
      </c>
      <c r="D60" s="1" t="s">
        <v>47</v>
      </c>
      <c r="E60" s="1">
        <v>285.0</v>
      </c>
      <c r="F60" s="4">
        <v>13000.0</v>
      </c>
      <c r="G60" s="2">
        <f t="shared" si="13"/>
        <v>5557500</v>
      </c>
      <c r="I60" s="24">
        <f t="shared" si="14"/>
        <v>427.5</v>
      </c>
    </row>
    <row r="61">
      <c r="B61" s="1" t="s">
        <v>51</v>
      </c>
      <c r="C61" s="1" t="s">
        <v>67</v>
      </c>
      <c r="D61" s="1" t="s">
        <v>13</v>
      </c>
      <c r="E61" s="1">
        <v>81.03</v>
      </c>
      <c r="F61" s="4">
        <v>133900.0</v>
      </c>
      <c r="G61" s="2">
        <f t="shared" si="13"/>
        <v>16274875.5</v>
      </c>
      <c r="I61" s="24">
        <f t="shared" si="14"/>
        <v>121.545</v>
      </c>
    </row>
    <row r="62">
      <c r="B62" s="1" t="s">
        <v>52</v>
      </c>
      <c r="C62" s="1" t="s">
        <v>59</v>
      </c>
      <c r="D62" s="1" t="s">
        <v>36</v>
      </c>
      <c r="E62" s="1">
        <v>11.72</v>
      </c>
      <c r="F62" s="4">
        <v>1238700.0</v>
      </c>
      <c r="G62" s="2">
        <f t="shared" si="13"/>
        <v>21776346</v>
      </c>
      <c r="I62" s="24">
        <f t="shared" si="14"/>
        <v>17.58</v>
      </c>
    </row>
    <row r="63">
      <c r="F63" s="4"/>
    </row>
    <row r="64">
      <c r="B64" s="1" t="s">
        <v>68</v>
      </c>
      <c r="F64" s="4"/>
    </row>
    <row r="65">
      <c r="B65" s="1" t="s">
        <v>43</v>
      </c>
      <c r="C65" s="1" t="s">
        <v>57</v>
      </c>
      <c r="D65" s="1" t="s">
        <v>13</v>
      </c>
      <c r="E65" s="1">
        <v>17.95</v>
      </c>
      <c r="F65" s="4">
        <v>114600.0</v>
      </c>
      <c r="G65" s="2">
        <f t="shared" ref="G65:G67" si="15">F65*I65</f>
        <v>3085605</v>
      </c>
      <c r="I65" s="24">
        <f t="shared" ref="I65:I67" si="16">E65*1.5</f>
        <v>26.925</v>
      </c>
    </row>
    <row r="66">
      <c r="B66" s="1" t="s">
        <v>51</v>
      </c>
      <c r="C66" s="1" t="s">
        <v>58</v>
      </c>
      <c r="D66" s="1" t="s">
        <v>47</v>
      </c>
      <c r="E66" s="1">
        <v>517.84</v>
      </c>
      <c r="F66" s="4">
        <v>13000.0</v>
      </c>
      <c r="G66" s="2">
        <f t="shared" si="15"/>
        <v>10097880</v>
      </c>
      <c r="I66" s="24">
        <f t="shared" si="16"/>
        <v>776.76</v>
      </c>
    </row>
    <row r="67">
      <c r="B67" s="1" t="s">
        <v>52</v>
      </c>
      <c r="C67" s="1" t="s">
        <v>69</v>
      </c>
      <c r="D67" s="1" t="s">
        <v>36</v>
      </c>
      <c r="E67" s="1">
        <v>1.84</v>
      </c>
      <c r="F67" s="4">
        <v>1238700.0</v>
      </c>
      <c r="G67" s="2">
        <f t="shared" si="15"/>
        <v>3418812</v>
      </c>
      <c r="I67" s="24">
        <f t="shared" si="16"/>
        <v>2.76</v>
      </c>
    </row>
    <row r="68">
      <c r="F68" s="4"/>
    </row>
    <row r="69">
      <c r="B69" s="1" t="s">
        <v>76</v>
      </c>
      <c r="F69" s="4"/>
    </row>
    <row r="70">
      <c r="B70" s="1" t="s">
        <v>43</v>
      </c>
      <c r="C70" s="1" t="s">
        <v>57</v>
      </c>
      <c r="D70" s="1" t="s">
        <v>13</v>
      </c>
      <c r="E70" s="1">
        <v>38.88</v>
      </c>
      <c r="F70" s="4">
        <v>114600.0</v>
      </c>
      <c r="G70" s="2">
        <f t="shared" ref="G70:G72" si="17">F70*I70</f>
        <v>6683472</v>
      </c>
      <c r="I70" s="24">
        <f t="shared" ref="I70:I72" si="18">E70*1.5</f>
        <v>58.32</v>
      </c>
    </row>
    <row r="71">
      <c r="B71" s="1" t="s">
        <v>51</v>
      </c>
      <c r="C71" s="1" t="s">
        <v>58</v>
      </c>
      <c r="D71" s="1" t="s">
        <v>47</v>
      </c>
      <c r="E71" s="1">
        <v>878.58</v>
      </c>
      <c r="F71" s="4">
        <v>13000.0</v>
      </c>
      <c r="G71" s="2">
        <f t="shared" si="17"/>
        <v>17132310</v>
      </c>
      <c r="I71" s="24">
        <f t="shared" si="18"/>
        <v>1317.87</v>
      </c>
    </row>
    <row r="72">
      <c r="B72" s="1" t="s">
        <v>52</v>
      </c>
      <c r="C72" s="1" t="s">
        <v>59</v>
      </c>
      <c r="D72" s="1" t="s">
        <v>36</v>
      </c>
      <c r="E72" s="1">
        <v>4.74</v>
      </c>
      <c r="F72" s="4">
        <v>1238700.0</v>
      </c>
      <c r="G72" s="2">
        <f t="shared" si="17"/>
        <v>8807157</v>
      </c>
      <c r="I72" s="24">
        <f t="shared" si="18"/>
        <v>7.11</v>
      </c>
    </row>
    <row r="73">
      <c r="F73" s="4"/>
    </row>
    <row r="74">
      <c r="B74" s="1" t="s">
        <v>76</v>
      </c>
      <c r="F74" s="4"/>
    </row>
    <row r="75">
      <c r="B75" s="1" t="s">
        <v>77</v>
      </c>
      <c r="C75" s="1" t="s">
        <v>57</v>
      </c>
      <c r="D75" s="1" t="s">
        <v>13</v>
      </c>
      <c r="E75" s="1">
        <v>41.16</v>
      </c>
      <c r="F75" s="4">
        <v>114600.0</v>
      </c>
      <c r="G75" s="2">
        <f t="shared" ref="G75:G77" si="19">F75*I75</f>
        <v>7075404</v>
      </c>
      <c r="I75" s="24">
        <f t="shared" ref="I75:I77" si="20">E75*1.5</f>
        <v>61.74</v>
      </c>
    </row>
    <row r="76">
      <c r="B76" s="1" t="s">
        <v>51</v>
      </c>
      <c r="C76" s="1" t="s">
        <v>58</v>
      </c>
      <c r="D76" s="1" t="s">
        <v>47</v>
      </c>
      <c r="E76" s="1">
        <v>801.09</v>
      </c>
      <c r="F76" s="4">
        <v>13000.0</v>
      </c>
      <c r="G76" s="2">
        <f t="shared" si="19"/>
        <v>15621255</v>
      </c>
      <c r="I76" s="24">
        <f t="shared" si="20"/>
        <v>1201.635</v>
      </c>
    </row>
    <row r="77">
      <c r="B77" s="1" t="s">
        <v>52</v>
      </c>
      <c r="C77" s="1" t="s">
        <v>69</v>
      </c>
      <c r="D77" s="1" t="s">
        <v>36</v>
      </c>
      <c r="E77" s="1">
        <v>4.85</v>
      </c>
      <c r="F77" s="4">
        <v>1238700.0</v>
      </c>
      <c r="G77" s="2">
        <f t="shared" si="19"/>
        <v>9011542.5</v>
      </c>
      <c r="I77" s="24">
        <f t="shared" si="20"/>
        <v>7.275</v>
      </c>
    </row>
    <row r="78">
      <c r="F78" s="4"/>
    </row>
    <row r="79">
      <c r="B79" s="1" t="s">
        <v>78</v>
      </c>
      <c r="F79" s="4"/>
    </row>
    <row r="80">
      <c r="B80" s="1" t="s">
        <v>73</v>
      </c>
      <c r="C80" s="1" t="s">
        <v>74</v>
      </c>
      <c r="D80" s="1" t="s">
        <v>13</v>
      </c>
      <c r="E80" s="1">
        <v>78.78</v>
      </c>
      <c r="F80" s="4">
        <v>186000.0</v>
      </c>
      <c r="G80" s="2">
        <f t="shared" ref="G80:G83" si="21">F80*I80</f>
        <v>21979620</v>
      </c>
      <c r="I80" s="24">
        <f t="shared" ref="I80:I83" si="22">E80*1.5</f>
        <v>118.17</v>
      </c>
    </row>
    <row r="81">
      <c r="B81" s="1" t="s">
        <v>51</v>
      </c>
      <c r="C81" s="1" t="s">
        <v>46</v>
      </c>
      <c r="D81" s="1" t="s">
        <v>47</v>
      </c>
      <c r="E81" s="1">
        <v>285.0</v>
      </c>
      <c r="F81" s="4">
        <v>13000.0</v>
      </c>
      <c r="G81" s="2">
        <f t="shared" si="21"/>
        <v>5557500</v>
      </c>
      <c r="I81" s="24">
        <f t="shared" si="22"/>
        <v>427.5</v>
      </c>
    </row>
    <row r="82">
      <c r="B82" s="1" t="s">
        <v>51</v>
      </c>
      <c r="C82" s="1" t="s">
        <v>67</v>
      </c>
      <c r="D82" s="1" t="s">
        <v>13</v>
      </c>
      <c r="E82" s="1">
        <v>81.03</v>
      </c>
      <c r="F82" s="4">
        <v>137000.0</v>
      </c>
      <c r="G82" s="2">
        <f t="shared" si="21"/>
        <v>16651665</v>
      </c>
      <c r="I82" s="24">
        <f t="shared" si="22"/>
        <v>121.545</v>
      </c>
    </row>
    <row r="83">
      <c r="B83" s="1" t="s">
        <v>52</v>
      </c>
      <c r="C83" s="1" t="s">
        <v>69</v>
      </c>
      <c r="D83" s="1" t="s">
        <v>36</v>
      </c>
      <c r="E83" s="1">
        <v>11.72</v>
      </c>
      <c r="F83" s="4">
        <v>1238700.0</v>
      </c>
      <c r="G83" s="2">
        <f t="shared" si="21"/>
        <v>21776346</v>
      </c>
      <c r="I83" s="24">
        <f t="shared" si="22"/>
        <v>17.58</v>
      </c>
    </row>
    <row r="84">
      <c r="E84" s="3"/>
      <c r="F84" s="4"/>
    </row>
    <row r="85">
      <c r="E85" s="3"/>
      <c r="F85" s="4"/>
    </row>
    <row r="86">
      <c r="B86" s="1" t="s">
        <v>85</v>
      </c>
      <c r="E86" s="3"/>
      <c r="F86" s="4"/>
    </row>
    <row r="87">
      <c r="B87" s="1" t="s">
        <v>86</v>
      </c>
      <c r="C87" s="1" t="s">
        <v>57</v>
      </c>
      <c r="D87" s="1" t="s">
        <v>13</v>
      </c>
      <c r="E87" s="1">
        <v>17.61</v>
      </c>
      <c r="F87" s="4">
        <v>114600.0</v>
      </c>
      <c r="G87" s="2">
        <f t="shared" ref="G87:G89" si="23">F87*I87</f>
        <v>3027159</v>
      </c>
      <c r="I87" s="24">
        <f t="shared" ref="I87:I89" si="24">E87*1.5</f>
        <v>26.415</v>
      </c>
    </row>
    <row r="88">
      <c r="B88" s="1" t="s">
        <v>51</v>
      </c>
      <c r="C88" s="1" t="s">
        <v>58</v>
      </c>
      <c r="D88" s="1" t="s">
        <v>47</v>
      </c>
      <c r="E88" s="1">
        <v>193.74</v>
      </c>
      <c r="F88" s="4">
        <v>13000.0</v>
      </c>
      <c r="G88" s="2">
        <f t="shared" si="23"/>
        <v>3777930</v>
      </c>
      <c r="I88" s="24">
        <f t="shared" si="24"/>
        <v>290.61</v>
      </c>
    </row>
    <row r="89">
      <c r="B89" s="1" t="s">
        <v>52</v>
      </c>
      <c r="C89" s="1" t="s">
        <v>88</v>
      </c>
      <c r="D89" s="1" t="s">
        <v>36</v>
      </c>
      <c r="E89" s="1">
        <v>1.76</v>
      </c>
      <c r="F89" s="4">
        <v>1238700.0</v>
      </c>
      <c r="G89" s="2">
        <f t="shared" si="23"/>
        <v>3270168</v>
      </c>
      <c r="I89" s="24">
        <f t="shared" si="24"/>
        <v>2.64</v>
      </c>
    </row>
    <row r="90">
      <c r="E90" s="3"/>
      <c r="F90" s="4"/>
    </row>
    <row r="91">
      <c r="A91" s="1" t="s">
        <v>89</v>
      </c>
      <c r="B91" s="1" t="s">
        <v>90</v>
      </c>
      <c r="E91" s="3"/>
      <c r="F91" s="4"/>
    </row>
    <row r="92">
      <c r="B92" s="1" t="s">
        <v>91</v>
      </c>
      <c r="E92" s="3"/>
      <c r="F92" s="4"/>
      <c r="H92" s="2">
        <f>sum(G93:G159)</f>
        <v>445434299.6</v>
      </c>
    </row>
    <row r="93">
      <c r="B93" s="1" t="s">
        <v>95</v>
      </c>
      <c r="C93" s="1" t="s">
        <v>96</v>
      </c>
      <c r="D93" s="1" t="s">
        <v>13</v>
      </c>
      <c r="E93" s="1">
        <v>230.2875</v>
      </c>
      <c r="F93" s="4">
        <v>137300.0</v>
      </c>
      <c r="G93" s="2">
        <f t="shared" ref="G93:G99" si="25">F93*I93</f>
        <v>47427710.63</v>
      </c>
      <c r="I93" s="24">
        <f t="shared" ref="I93:I99" si="26">E93*1.5</f>
        <v>345.43125</v>
      </c>
    </row>
    <row r="94">
      <c r="B94" s="1" t="s">
        <v>99</v>
      </c>
      <c r="C94" s="1" t="s">
        <v>100</v>
      </c>
      <c r="D94" s="1" t="s">
        <v>13</v>
      </c>
      <c r="E94" s="1">
        <v>460.575</v>
      </c>
      <c r="F94" s="4">
        <v>49200.0</v>
      </c>
      <c r="G94" s="2">
        <f t="shared" si="25"/>
        <v>33990435</v>
      </c>
      <c r="I94" s="24">
        <f t="shared" si="26"/>
        <v>690.8625</v>
      </c>
    </row>
    <row r="95">
      <c r="B95" s="1" t="s">
        <v>102</v>
      </c>
      <c r="C95" s="1" t="s">
        <v>100</v>
      </c>
      <c r="D95" s="1" t="s">
        <v>13</v>
      </c>
      <c r="E95" s="1">
        <v>460.575</v>
      </c>
      <c r="F95" s="4">
        <v>22600.0</v>
      </c>
      <c r="G95" s="2">
        <f t="shared" si="25"/>
        <v>15613492.5</v>
      </c>
      <c r="I95" s="24">
        <f t="shared" si="26"/>
        <v>690.8625</v>
      </c>
    </row>
    <row r="96">
      <c r="B96" s="1" t="s">
        <v>103</v>
      </c>
      <c r="D96" s="1" t="s">
        <v>13</v>
      </c>
      <c r="E96" s="1">
        <v>303.78</v>
      </c>
      <c r="F96" s="4">
        <v>21600.0</v>
      </c>
      <c r="G96" s="2">
        <f t="shared" si="25"/>
        <v>9842472</v>
      </c>
      <c r="I96" s="24">
        <f t="shared" si="26"/>
        <v>455.67</v>
      </c>
    </row>
    <row r="97">
      <c r="B97" s="1" t="s">
        <v>222</v>
      </c>
      <c r="C97" s="1" t="s">
        <v>223</v>
      </c>
      <c r="D97" s="1" t="s">
        <v>13</v>
      </c>
      <c r="E97" s="1">
        <v>90.34</v>
      </c>
      <c r="F97" s="4">
        <v>230000.0</v>
      </c>
      <c r="G97" s="2">
        <f t="shared" si="25"/>
        <v>31167300</v>
      </c>
      <c r="I97" s="24">
        <f t="shared" si="26"/>
        <v>135.51</v>
      </c>
    </row>
    <row r="98">
      <c r="B98" s="1" t="s">
        <v>104</v>
      </c>
      <c r="D98" s="1" t="s">
        <v>13</v>
      </c>
      <c r="E98" s="1">
        <v>71.49</v>
      </c>
      <c r="F98" s="4">
        <v>30000.0</v>
      </c>
      <c r="G98" s="2">
        <f t="shared" si="25"/>
        <v>3217050</v>
      </c>
      <c r="I98" s="24">
        <f t="shared" si="26"/>
        <v>107.235</v>
      </c>
    </row>
    <row r="99">
      <c r="B99" s="1" t="s">
        <v>105</v>
      </c>
      <c r="D99" s="1" t="s">
        <v>13</v>
      </c>
      <c r="E99" s="1">
        <v>28.17</v>
      </c>
      <c r="F99" s="4">
        <v>281000.0</v>
      </c>
      <c r="G99" s="2">
        <f t="shared" si="25"/>
        <v>11873655</v>
      </c>
      <c r="I99" s="24">
        <f t="shared" si="26"/>
        <v>42.255</v>
      </c>
    </row>
    <row r="100">
      <c r="B100" s="1" t="s">
        <v>106</v>
      </c>
      <c r="F100" s="4"/>
    </row>
    <row r="101">
      <c r="B101" s="1" t="s">
        <v>225</v>
      </c>
      <c r="C101" s="1" t="s">
        <v>226</v>
      </c>
      <c r="D101" s="1" t="s">
        <v>13</v>
      </c>
      <c r="E101" s="1">
        <v>12.4</v>
      </c>
      <c r="F101" s="4">
        <v>380000.0</v>
      </c>
      <c r="G101" s="2">
        <f>F101*I101</f>
        <v>7068000</v>
      </c>
      <c r="I101" s="24">
        <f>E101*1.5</f>
        <v>18.6</v>
      </c>
    </row>
    <row r="103">
      <c r="B103" s="1" t="s">
        <v>107</v>
      </c>
      <c r="F103" s="4"/>
    </row>
    <row r="104">
      <c r="B104" s="1" t="s">
        <v>108</v>
      </c>
      <c r="D104" s="1" t="s">
        <v>13</v>
      </c>
      <c r="E104" s="1">
        <v>200.7</v>
      </c>
      <c r="F104" s="4">
        <v>46200.0</v>
      </c>
      <c r="G104" s="2">
        <f t="shared" ref="G104:G109" si="27">F104*I104</f>
        <v>13908510</v>
      </c>
      <c r="I104" s="24">
        <f t="shared" ref="I104:I109" si="28">E104*1.5</f>
        <v>301.05</v>
      </c>
    </row>
    <row r="105">
      <c r="B105" s="1" t="s">
        <v>109</v>
      </c>
      <c r="C105" s="1" t="s">
        <v>110</v>
      </c>
      <c r="D105" s="1" t="s">
        <v>13</v>
      </c>
      <c r="E105" s="1">
        <v>123.06</v>
      </c>
      <c r="F105" s="4">
        <v>286300.0</v>
      </c>
      <c r="G105" s="2">
        <f t="shared" si="27"/>
        <v>52848117</v>
      </c>
      <c r="I105" s="24">
        <f t="shared" si="28"/>
        <v>184.59</v>
      </c>
    </row>
    <row r="106">
      <c r="B106" s="1" t="s">
        <v>111</v>
      </c>
      <c r="C106" s="1" t="s">
        <v>110</v>
      </c>
      <c r="D106" s="1" t="s">
        <v>13</v>
      </c>
      <c r="E106" s="1">
        <v>5.27</v>
      </c>
      <c r="F106" s="4">
        <v>286300.0</v>
      </c>
      <c r="G106" s="2">
        <f t="shared" si="27"/>
        <v>2263201.5</v>
      </c>
      <c r="I106" s="24">
        <f t="shared" si="28"/>
        <v>7.905</v>
      </c>
    </row>
    <row r="107">
      <c r="B107" s="1" t="s">
        <v>112</v>
      </c>
      <c r="C107" s="1" t="s">
        <v>113</v>
      </c>
      <c r="D107" s="1" t="s">
        <v>13</v>
      </c>
      <c r="E107" s="1">
        <v>16.5</v>
      </c>
      <c r="F107" s="4">
        <v>267600.0</v>
      </c>
      <c r="G107" s="2">
        <f t="shared" si="27"/>
        <v>6623100</v>
      </c>
      <c r="I107" s="24">
        <f t="shared" si="28"/>
        <v>24.75</v>
      </c>
    </row>
    <row r="108">
      <c r="B108" s="1" t="s">
        <v>114</v>
      </c>
      <c r="C108" s="1" t="s">
        <v>115</v>
      </c>
      <c r="D108" s="1" t="s">
        <v>13</v>
      </c>
      <c r="E108" s="1">
        <v>52.24</v>
      </c>
      <c r="F108" s="4">
        <v>108000.0</v>
      </c>
      <c r="G108" s="2">
        <f t="shared" si="27"/>
        <v>8462880</v>
      </c>
      <c r="I108" s="24">
        <f t="shared" si="28"/>
        <v>78.36</v>
      </c>
    </row>
    <row r="109">
      <c r="B109" s="1" t="s">
        <v>116</v>
      </c>
      <c r="C109" s="1" t="s">
        <v>117</v>
      </c>
      <c r="D109" s="1" t="s">
        <v>13</v>
      </c>
      <c r="E109" s="1">
        <v>8.33</v>
      </c>
      <c r="F109" s="4">
        <v>540000.0</v>
      </c>
      <c r="G109" s="2">
        <f t="shared" si="27"/>
        <v>6747300</v>
      </c>
      <c r="I109" s="24">
        <f t="shared" si="28"/>
        <v>12.495</v>
      </c>
    </row>
    <row r="110">
      <c r="F110" s="4"/>
    </row>
    <row r="111">
      <c r="B111" s="1" t="s">
        <v>118</v>
      </c>
      <c r="F111" s="4"/>
    </row>
    <row r="112">
      <c r="B112" s="1" t="s">
        <v>108</v>
      </c>
      <c r="D112" s="1" t="s">
        <v>13</v>
      </c>
      <c r="F112" s="4">
        <v>46200.0</v>
      </c>
    </row>
    <row r="113">
      <c r="B113" s="1" t="s">
        <v>119</v>
      </c>
      <c r="C113" s="1" t="s">
        <v>120</v>
      </c>
      <c r="D113" s="1" t="s">
        <v>13</v>
      </c>
      <c r="F113" s="4">
        <v>335000.0</v>
      </c>
    </row>
    <row r="114">
      <c r="B114" s="1" t="s">
        <v>121</v>
      </c>
      <c r="D114" s="1" t="s">
        <v>11</v>
      </c>
      <c r="F114" s="4">
        <v>660000.0</v>
      </c>
    </row>
    <row r="115">
      <c r="F115" s="4"/>
    </row>
    <row r="116">
      <c r="B116" s="1" t="s">
        <v>122</v>
      </c>
      <c r="F116" s="4"/>
    </row>
    <row r="117">
      <c r="B117" s="1" t="s">
        <v>123</v>
      </c>
      <c r="C117" s="1" t="s">
        <v>124</v>
      </c>
      <c r="D117" s="1" t="s">
        <v>13</v>
      </c>
      <c r="E117" s="1">
        <v>180.0</v>
      </c>
      <c r="F117" s="4">
        <v>114000.0</v>
      </c>
      <c r="G117" s="2">
        <f t="shared" ref="G117:G122" si="29">F117*I117</f>
        <v>30780000</v>
      </c>
      <c r="I117" s="24">
        <f t="shared" ref="I117:I122" si="30">E117*1.5</f>
        <v>270</v>
      </c>
    </row>
    <row r="118">
      <c r="B118" s="1" t="s">
        <v>125</v>
      </c>
      <c r="C118" s="1" t="s">
        <v>126</v>
      </c>
      <c r="D118" s="1" t="s">
        <v>13</v>
      </c>
      <c r="E118" s="1">
        <v>26.78</v>
      </c>
      <c r="F118" s="4">
        <v>132000.0</v>
      </c>
      <c r="G118" s="2">
        <f t="shared" si="29"/>
        <v>5302440</v>
      </c>
      <c r="I118" s="24">
        <f t="shared" si="30"/>
        <v>40.17</v>
      </c>
    </row>
    <row r="119">
      <c r="B119" s="1" t="s">
        <v>127</v>
      </c>
      <c r="C119" s="1" t="s">
        <v>128</v>
      </c>
      <c r="D119" s="1" t="s">
        <v>13</v>
      </c>
      <c r="E119" s="1">
        <v>13.65</v>
      </c>
      <c r="F119" s="4">
        <v>24000.0</v>
      </c>
      <c r="G119" s="2">
        <f t="shared" si="29"/>
        <v>491400</v>
      </c>
      <c r="I119" s="24">
        <f t="shared" si="30"/>
        <v>20.475</v>
      </c>
    </row>
    <row r="120">
      <c r="B120" s="1" t="s">
        <v>129</v>
      </c>
      <c r="D120" s="1" t="s">
        <v>11</v>
      </c>
      <c r="E120" s="1">
        <v>79.32</v>
      </c>
      <c r="F120" s="4">
        <v>19800.0</v>
      </c>
      <c r="G120" s="2">
        <f t="shared" si="29"/>
        <v>2355804</v>
      </c>
      <c r="I120" s="24">
        <f t="shared" si="30"/>
        <v>118.98</v>
      </c>
    </row>
    <row r="121">
      <c r="B121" s="1" t="s">
        <v>130</v>
      </c>
      <c r="C121" s="1" t="s">
        <v>131</v>
      </c>
      <c r="D121" s="1" t="s">
        <v>13</v>
      </c>
      <c r="E121" s="1">
        <v>5.13</v>
      </c>
      <c r="F121" s="4">
        <v>132000.0</v>
      </c>
      <c r="G121" s="2">
        <f t="shared" si="29"/>
        <v>1015740</v>
      </c>
      <c r="I121" s="24">
        <f t="shared" si="30"/>
        <v>7.695</v>
      </c>
    </row>
    <row r="122">
      <c r="B122" s="1" t="s">
        <v>132</v>
      </c>
      <c r="D122" s="1" t="s">
        <v>13</v>
      </c>
      <c r="E122" s="1">
        <v>225.58</v>
      </c>
      <c r="F122" s="4">
        <v>21600.0</v>
      </c>
      <c r="G122" s="2">
        <f t="shared" si="29"/>
        <v>7308792</v>
      </c>
      <c r="I122" s="24">
        <f t="shared" si="30"/>
        <v>338.37</v>
      </c>
    </row>
    <row r="123">
      <c r="E123" s="3"/>
      <c r="F123" s="4"/>
    </row>
    <row r="124">
      <c r="B124" s="1" t="s">
        <v>133</v>
      </c>
      <c r="E124" s="3"/>
      <c r="F124" s="4"/>
    </row>
    <row r="125">
      <c r="B125" s="1" t="s">
        <v>134</v>
      </c>
      <c r="C125" s="1" t="s">
        <v>135</v>
      </c>
      <c r="D125" s="1" t="s">
        <v>24</v>
      </c>
      <c r="E125" s="3">
        <v>1.0</v>
      </c>
      <c r="F125" s="4">
        <v>1.57848E7</v>
      </c>
      <c r="G125" s="2">
        <f>F125*I125</f>
        <v>23677200</v>
      </c>
      <c r="I125" s="24">
        <f>E125*1.5</f>
        <v>1.5</v>
      </c>
    </row>
    <row r="126">
      <c r="C126" s="1" t="s">
        <v>136</v>
      </c>
      <c r="E126" s="3"/>
      <c r="F126" s="4"/>
    </row>
    <row r="127">
      <c r="C127" s="1" t="s">
        <v>137</v>
      </c>
      <c r="E127" s="3"/>
      <c r="F127" s="4"/>
    </row>
    <row r="128">
      <c r="C128" s="1" t="s">
        <v>138</v>
      </c>
      <c r="E128" s="3"/>
      <c r="F128" s="4"/>
    </row>
    <row r="129">
      <c r="C129" s="1" t="s">
        <v>139</v>
      </c>
      <c r="E129" s="3"/>
      <c r="F129" s="4"/>
    </row>
    <row r="130">
      <c r="E130" s="3"/>
      <c r="F130" s="4"/>
    </row>
    <row r="131">
      <c r="E131" s="3"/>
      <c r="F131" s="4"/>
    </row>
    <row r="132">
      <c r="B132" s="1" t="s">
        <v>140</v>
      </c>
      <c r="C132" s="1" t="s">
        <v>141</v>
      </c>
      <c r="D132" s="1" t="s">
        <v>13</v>
      </c>
      <c r="E132" s="3">
        <v>19.2</v>
      </c>
      <c r="F132" s="4">
        <v>1440000.0</v>
      </c>
      <c r="G132" s="2">
        <f>F132*I132</f>
        <v>41472000</v>
      </c>
      <c r="I132" s="24">
        <f>E132*1.5</f>
        <v>28.8</v>
      </c>
    </row>
    <row r="133">
      <c r="C133" s="1" t="s">
        <v>142</v>
      </c>
      <c r="E133" s="3"/>
      <c r="F133" s="4"/>
    </row>
    <row r="134">
      <c r="E134" s="3"/>
      <c r="F134" s="4"/>
    </row>
    <row r="135">
      <c r="B135" s="1" t="s">
        <v>140</v>
      </c>
      <c r="C135" s="1" t="s">
        <v>141</v>
      </c>
      <c r="D135" s="1" t="s">
        <v>13</v>
      </c>
      <c r="E135" s="3">
        <v>12.84</v>
      </c>
      <c r="F135" s="4">
        <v>1440000.0</v>
      </c>
      <c r="G135" s="2">
        <f>F135*I135</f>
        <v>27734400</v>
      </c>
      <c r="I135" s="24">
        <f>E135*1.5</f>
        <v>19.26</v>
      </c>
    </row>
    <row r="136">
      <c r="C136" s="1" t="s">
        <v>142</v>
      </c>
      <c r="E136" s="3"/>
      <c r="F136" s="4"/>
    </row>
    <row r="137">
      <c r="E137" s="3"/>
      <c r="F137" s="4"/>
    </row>
    <row r="138">
      <c r="B138" s="1" t="s">
        <v>143</v>
      </c>
      <c r="C138" s="1" t="s">
        <v>135</v>
      </c>
      <c r="D138" s="1" t="s">
        <v>24</v>
      </c>
      <c r="E138" s="3">
        <v>1.0</v>
      </c>
      <c r="F138" s="4">
        <v>5980200.0</v>
      </c>
      <c r="G138" s="2">
        <f>F138*I138</f>
        <v>8970300</v>
      </c>
      <c r="I138" s="24">
        <f>E138*1.5</f>
        <v>1.5</v>
      </c>
    </row>
    <row r="139">
      <c r="C139" s="1" t="s">
        <v>144</v>
      </c>
      <c r="E139" s="3"/>
      <c r="F139" s="4"/>
    </row>
    <row r="140">
      <c r="C140" s="1" t="s">
        <v>145</v>
      </c>
      <c r="E140" s="3"/>
      <c r="F140" s="4"/>
    </row>
    <row r="141">
      <c r="C141" s="1" t="s">
        <v>146</v>
      </c>
      <c r="E141" s="3"/>
      <c r="F141" s="4"/>
    </row>
    <row r="142">
      <c r="C142" s="1" t="s">
        <v>147</v>
      </c>
      <c r="E142" s="3"/>
      <c r="F142" s="4"/>
    </row>
    <row r="143">
      <c r="E143" s="3"/>
      <c r="F143" s="4"/>
    </row>
    <row r="144">
      <c r="B144" s="1" t="s">
        <v>148</v>
      </c>
      <c r="C144" s="1" t="s">
        <v>135</v>
      </c>
      <c r="D144" s="1" t="s">
        <v>24</v>
      </c>
      <c r="E144" s="3">
        <v>1.0</v>
      </c>
      <c r="F144" s="4">
        <v>5837600.0</v>
      </c>
      <c r="G144" s="2">
        <f>F144*I144</f>
        <v>8756400</v>
      </c>
      <c r="I144" s="24">
        <f>E144*1.5</f>
        <v>1.5</v>
      </c>
    </row>
    <row r="145">
      <c r="C145" s="1" t="s">
        <v>149</v>
      </c>
      <c r="E145" s="3"/>
      <c r="F145" s="4"/>
    </row>
    <row r="146">
      <c r="C146" s="1" t="s">
        <v>146</v>
      </c>
      <c r="E146" s="3"/>
      <c r="F146" s="4"/>
    </row>
    <row r="147">
      <c r="E147" s="3"/>
      <c r="F147" s="4"/>
    </row>
    <row r="148">
      <c r="B148" s="1" t="s">
        <v>150</v>
      </c>
      <c r="C148" s="1" t="s">
        <v>135</v>
      </c>
      <c r="D148" s="1" t="s">
        <v>24</v>
      </c>
      <c r="E148" s="3">
        <v>1.0</v>
      </c>
      <c r="F148" s="4">
        <v>5418500.0</v>
      </c>
      <c r="G148" s="2">
        <f>F148*I148</f>
        <v>8127750</v>
      </c>
      <c r="I148" s="24">
        <f>E148*1.5</f>
        <v>1.5</v>
      </c>
    </row>
    <row r="149">
      <c r="C149" s="1" t="s">
        <v>149</v>
      </c>
      <c r="E149" s="3"/>
      <c r="F149" s="4"/>
    </row>
    <row r="150">
      <c r="C150" s="1" t="s">
        <v>146</v>
      </c>
      <c r="E150" s="3"/>
      <c r="F150" s="4"/>
    </row>
    <row r="151">
      <c r="E151" s="3"/>
      <c r="F151" s="4"/>
    </row>
    <row r="152">
      <c r="B152" s="1" t="s">
        <v>151</v>
      </c>
      <c r="C152" s="1" t="s">
        <v>135</v>
      </c>
      <c r="D152" s="1" t="s">
        <v>24</v>
      </c>
      <c r="E152" s="3">
        <v>1.0</v>
      </c>
      <c r="F152" s="4">
        <v>8089400.0</v>
      </c>
      <c r="G152" s="2">
        <f>F152*I152</f>
        <v>12134100</v>
      </c>
      <c r="I152" s="24">
        <f>E152*1.5</f>
        <v>1.5</v>
      </c>
    </row>
    <row r="153">
      <c r="C153" s="1" t="s">
        <v>149</v>
      </c>
    </row>
    <row r="154">
      <c r="C154" s="1" t="s">
        <v>146</v>
      </c>
    </row>
    <row r="156">
      <c r="B156" s="1" t="s">
        <v>152</v>
      </c>
    </row>
    <row r="157">
      <c r="B157" s="1" t="s">
        <v>153</v>
      </c>
      <c r="C157" s="1" t="s">
        <v>154</v>
      </c>
      <c r="D157" s="1" t="s">
        <v>24</v>
      </c>
      <c r="E157" s="3">
        <v>3.0</v>
      </c>
      <c r="F157" s="4">
        <v>1647100.0</v>
      </c>
      <c r="G157" s="2">
        <f t="shared" ref="G157:G159" si="31">F157*I157</f>
        <v>7411950</v>
      </c>
      <c r="I157" s="24">
        <f t="shared" ref="I157:I159" si="32">E157*1.5</f>
        <v>4.5</v>
      </c>
    </row>
    <row r="158">
      <c r="B158" s="1" t="s">
        <v>155</v>
      </c>
      <c r="C158" s="1" t="s">
        <v>156</v>
      </c>
      <c r="D158" s="1" t="s">
        <v>24</v>
      </c>
      <c r="E158" s="3">
        <v>2.0</v>
      </c>
      <c r="F158" s="4">
        <v>1352900.0</v>
      </c>
      <c r="G158" s="2">
        <f t="shared" si="31"/>
        <v>4058700</v>
      </c>
      <c r="I158" s="24">
        <f t="shared" si="32"/>
        <v>3</v>
      </c>
    </row>
    <row r="159">
      <c r="B159" s="1" t="s">
        <v>157</v>
      </c>
      <c r="C159" s="1" t="s">
        <v>154</v>
      </c>
      <c r="D159" s="1" t="s">
        <v>24</v>
      </c>
      <c r="E159" s="3">
        <v>1.0</v>
      </c>
      <c r="F159" s="4">
        <v>3189400.0</v>
      </c>
      <c r="G159" s="2">
        <f t="shared" si="31"/>
        <v>4784100</v>
      </c>
      <c r="I159" s="24">
        <f t="shared" si="32"/>
        <v>1.5</v>
      </c>
    </row>
    <row r="160">
      <c r="E160" s="3"/>
      <c r="F160" s="4"/>
    </row>
    <row r="161">
      <c r="B161" s="1" t="s">
        <v>158</v>
      </c>
      <c r="E161" s="3"/>
      <c r="F161" s="4"/>
      <c r="H161" s="2">
        <f>sum(G163:G203)</f>
        <v>117624636</v>
      </c>
    </row>
    <row r="162">
      <c r="B162" s="1" t="s">
        <v>159</v>
      </c>
      <c r="E162" s="3"/>
      <c r="F162" s="4"/>
    </row>
    <row r="163">
      <c r="B163" s="1" t="s">
        <v>160</v>
      </c>
      <c r="C163" s="1" t="s">
        <v>161</v>
      </c>
      <c r="D163" s="1" t="s">
        <v>11</v>
      </c>
      <c r="E163" s="1">
        <v>29.36</v>
      </c>
      <c r="F163" s="4">
        <v>36100.0</v>
      </c>
      <c r="G163" s="2">
        <f t="shared" ref="G163:G172" si="33">F163*I163</f>
        <v>1589844</v>
      </c>
      <c r="I163" s="24">
        <f t="shared" ref="I163:I172" si="34">E163*1.5</f>
        <v>44.04</v>
      </c>
    </row>
    <row r="164">
      <c r="B164" s="1" t="s">
        <v>162</v>
      </c>
      <c r="C164" s="1" t="s">
        <v>163</v>
      </c>
      <c r="D164" s="1" t="s">
        <v>11</v>
      </c>
      <c r="E164" s="1">
        <v>24.56</v>
      </c>
      <c r="F164" s="4">
        <v>177000.0</v>
      </c>
      <c r="G164" s="2">
        <f t="shared" si="33"/>
        <v>6520680</v>
      </c>
      <c r="I164" s="24">
        <f t="shared" si="34"/>
        <v>36.84</v>
      </c>
    </row>
    <row r="165">
      <c r="B165" s="1" t="s">
        <v>164</v>
      </c>
      <c r="C165" s="1" t="s">
        <v>165</v>
      </c>
      <c r="D165" s="1" t="s">
        <v>11</v>
      </c>
      <c r="E165" s="1">
        <v>14.93</v>
      </c>
      <c r="F165" s="4">
        <v>47700.0</v>
      </c>
      <c r="G165" s="2">
        <f t="shared" si="33"/>
        <v>1068241.5</v>
      </c>
      <c r="I165" s="24">
        <f t="shared" si="34"/>
        <v>22.395</v>
      </c>
    </row>
    <row r="166">
      <c r="B166" s="1" t="s">
        <v>166</v>
      </c>
      <c r="C166" s="1" t="s">
        <v>167</v>
      </c>
      <c r="D166" s="1" t="s">
        <v>11</v>
      </c>
      <c r="E166" s="1">
        <v>24.56</v>
      </c>
      <c r="F166" s="4">
        <v>74300.0</v>
      </c>
      <c r="G166" s="2">
        <f t="shared" si="33"/>
        <v>2737212</v>
      </c>
      <c r="I166" s="24">
        <f t="shared" si="34"/>
        <v>36.84</v>
      </c>
    </row>
    <row r="167">
      <c r="B167" s="1" t="s">
        <v>168</v>
      </c>
      <c r="C167" s="1" t="s">
        <v>163</v>
      </c>
      <c r="D167" s="1" t="s">
        <v>11</v>
      </c>
      <c r="E167" s="1">
        <v>37.86</v>
      </c>
      <c r="F167" s="4">
        <v>177000.0</v>
      </c>
      <c r="G167" s="2">
        <f t="shared" si="33"/>
        <v>10051830</v>
      </c>
      <c r="I167" s="24">
        <f t="shared" si="34"/>
        <v>56.79</v>
      </c>
    </row>
    <row r="168">
      <c r="B168" s="1" t="s">
        <v>169</v>
      </c>
      <c r="D168" s="1" t="s">
        <v>21</v>
      </c>
      <c r="E168" s="3">
        <v>1.0</v>
      </c>
      <c r="F168" s="4">
        <v>4597700.0</v>
      </c>
      <c r="G168" s="2">
        <f t="shared" si="33"/>
        <v>6896550</v>
      </c>
      <c r="I168" s="24">
        <f t="shared" si="34"/>
        <v>1.5</v>
      </c>
    </row>
    <row r="169">
      <c r="B169" s="1" t="s">
        <v>170</v>
      </c>
      <c r="D169" s="1" t="s">
        <v>21</v>
      </c>
      <c r="E169" s="3">
        <v>1.0</v>
      </c>
      <c r="F169" s="4">
        <v>5172400.0</v>
      </c>
      <c r="G169" s="2">
        <f t="shared" si="33"/>
        <v>7758600</v>
      </c>
      <c r="I169" s="24">
        <f t="shared" si="34"/>
        <v>1.5</v>
      </c>
    </row>
    <row r="170">
      <c r="B170" s="1" t="s">
        <v>171</v>
      </c>
      <c r="C170" s="1" t="s">
        <v>172</v>
      </c>
      <c r="D170" s="1" t="s">
        <v>24</v>
      </c>
      <c r="E170" s="3">
        <v>6.0</v>
      </c>
      <c r="F170" s="4">
        <v>316100.0</v>
      </c>
      <c r="G170" s="2">
        <f t="shared" si="33"/>
        <v>2844900</v>
      </c>
      <c r="I170" s="24">
        <f t="shared" si="34"/>
        <v>9</v>
      </c>
    </row>
    <row r="171">
      <c r="B171" s="1" t="s">
        <v>173</v>
      </c>
      <c r="C171" s="1" t="s">
        <v>172</v>
      </c>
      <c r="D171" s="1" t="s">
        <v>24</v>
      </c>
      <c r="E171" s="3">
        <v>6.0</v>
      </c>
      <c r="F171" s="4">
        <v>316100.0</v>
      </c>
      <c r="G171" s="2">
        <f t="shared" si="33"/>
        <v>2844900</v>
      </c>
      <c r="I171" s="24">
        <f t="shared" si="34"/>
        <v>9</v>
      </c>
    </row>
    <row r="172">
      <c r="B172" s="1" t="s">
        <v>174</v>
      </c>
      <c r="C172" s="1" t="s">
        <v>175</v>
      </c>
      <c r="D172" s="1" t="s">
        <v>24</v>
      </c>
      <c r="E172" s="3">
        <v>7.0</v>
      </c>
      <c r="F172" s="4">
        <v>201100.0</v>
      </c>
      <c r="G172" s="2">
        <f t="shared" si="33"/>
        <v>2111550</v>
      </c>
      <c r="I172" s="24">
        <f t="shared" si="34"/>
        <v>10.5</v>
      </c>
    </row>
    <row r="173">
      <c r="E173" s="3"/>
      <c r="F173" s="4"/>
    </row>
    <row r="174">
      <c r="B174" s="1" t="s">
        <v>176</v>
      </c>
      <c r="E174" s="3"/>
      <c r="F174" s="4"/>
    </row>
    <row r="175">
      <c r="B175" s="1" t="s">
        <v>177</v>
      </c>
      <c r="C175" s="1" t="s">
        <v>178</v>
      </c>
      <c r="D175" s="1" t="s">
        <v>24</v>
      </c>
      <c r="E175" s="3">
        <v>2.0</v>
      </c>
      <c r="F175" s="4">
        <v>2592700.0</v>
      </c>
      <c r="G175" s="2">
        <f t="shared" ref="G175:G179" si="35">F175*I175</f>
        <v>7778100</v>
      </c>
      <c r="I175" s="24">
        <f t="shared" ref="I175:I179" si="36">E175*1.5</f>
        <v>3</v>
      </c>
    </row>
    <row r="176">
      <c r="B176" s="1" t="s">
        <v>180</v>
      </c>
      <c r="C176" s="1" t="s">
        <v>181</v>
      </c>
      <c r="D176" s="1" t="s">
        <v>24</v>
      </c>
      <c r="E176" s="3">
        <v>2.0</v>
      </c>
      <c r="F176" s="4">
        <v>263200.0</v>
      </c>
      <c r="G176" s="2">
        <f t="shared" si="35"/>
        <v>789600</v>
      </c>
      <c r="I176" s="24">
        <f t="shared" si="36"/>
        <v>3</v>
      </c>
    </row>
    <row r="177">
      <c r="B177" s="1" t="s">
        <v>182</v>
      </c>
      <c r="C177" s="1" t="s">
        <v>183</v>
      </c>
      <c r="D177" s="1" t="s">
        <v>24</v>
      </c>
      <c r="E177" s="3">
        <v>2.0</v>
      </c>
      <c r="F177" s="4">
        <v>1424400.0</v>
      </c>
      <c r="G177" s="2">
        <f t="shared" si="35"/>
        <v>4273200</v>
      </c>
      <c r="I177" s="24">
        <f t="shared" si="36"/>
        <v>3</v>
      </c>
    </row>
    <row r="178">
      <c r="B178" s="1" t="s">
        <v>184</v>
      </c>
      <c r="C178" s="1" t="s">
        <v>185</v>
      </c>
      <c r="D178" s="1" t="s">
        <v>24</v>
      </c>
      <c r="E178" s="3">
        <v>2.0</v>
      </c>
      <c r="F178" s="4">
        <v>363500.0</v>
      </c>
      <c r="G178" s="2">
        <f t="shared" si="35"/>
        <v>1090500</v>
      </c>
      <c r="I178" s="24">
        <f t="shared" si="36"/>
        <v>3</v>
      </c>
    </row>
    <row r="179">
      <c r="B179" s="1" t="s">
        <v>186</v>
      </c>
      <c r="C179" s="1" t="s">
        <v>187</v>
      </c>
      <c r="D179" s="1" t="s">
        <v>24</v>
      </c>
      <c r="E179" s="3">
        <v>2.0</v>
      </c>
      <c r="F179" s="4">
        <v>276300.0</v>
      </c>
      <c r="G179" s="2">
        <f t="shared" si="35"/>
        <v>828900</v>
      </c>
      <c r="I179" s="24">
        <f t="shared" si="36"/>
        <v>3</v>
      </c>
    </row>
    <row r="180">
      <c r="E180" s="3"/>
      <c r="F180" s="4"/>
    </row>
    <row r="181">
      <c r="B181" s="1" t="s">
        <v>188</v>
      </c>
      <c r="E181" s="3"/>
      <c r="F181" s="4"/>
    </row>
    <row r="182">
      <c r="B182" s="1" t="s">
        <v>189</v>
      </c>
      <c r="C182" s="1" t="s">
        <v>190</v>
      </c>
      <c r="D182" s="1" t="s">
        <v>24</v>
      </c>
      <c r="E182" s="3">
        <v>1.0</v>
      </c>
      <c r="F182" s="4">
        <v>3620700.0</v>
      </c>
      <c r="G182" s="2">
        <f t="shared" ref="G182:G184" si="37">F182*I182</f>
        <v>5431050</v>
      </c>
      <c r="I182" s="24">
        <f t="shared" ref="I182:I184" si="38">E182*1.5</f>
        <v>1.5</v>
      </c>
    </row>
    <row r="183">
      <c r="B183" s="1" t="s">
        <v>191</v>
      </c>
      <c r="C183" s="1" t="s">
        <v>192</v>
      </c>
      <c r="D183" s="1" t="s">
        <v>24</v>
      </c>
      <c r="E183" s="3">
        <v>1.0</v>
      </c>
      <c r="F183" s="4">
        <v>2183900.0</v>
      </c>
      <c r="G183" s="2">
        <f t="shared" si="37"/>
        <v>3275850</v>
      </c>
      <c r="I183" s="24">
        <f t="shared" si="38"/>
        <v>1.5</v>
      </c>
    </row>
    <row r="184">
      <c r="B184" s="1" t="s">
        <v>193</v>
      </c>
      <c r="C184" s="1" t="s">
        <v>194</v>
      </c>
      <c r="D184" s="1" t="s">
        <v>24</v>
      </c>
      <c r="E184" s="3">
        <v>1.0</v>
      </c>
      <c r="F184" s="4">
        <v>4195400.0</v>
      </c>
      <c r="G184" s="2">
        <f t="shared" si="37"/>
        <v>6293100</v>
      </c>
      <c r="I184" s="24">
        <f t="shared" si="38"/>
        <v>1.5</v>
      </c>
    </row>
    <row r="185">
      <c r="E185" s="3"/>
      <c r="F185" s="4"/>
    </row>
    <row r="186">
      <c r="B186" s="1" t="s">
        <v>195</v>
      </c>
      <c r="E186" s="3"/>
      <c r="F186" s="4"/>
    </row>
    <row r="187">
      <c r="B187" s="1" t="s">
        <v>159</v>
      </c>
      <c r="E187" s="3"/>
      <c r="F187" s="4"/>
    </row>
    <row r="188">
      <c r="B188" s="1" t="s">
        <v>196</v>
      </c>
      <c r="C188" s="1" t="s">
        <v>197</v>
      </c>
      <c r="D188" s="1" t="s">
        <v>32</v>
      </c>
      <c r="E188" s="1">
        <v>51.33</v>
      </c>
      <c r="F188" s="4">
        <v>213800.0</v>
      </c>
      <c r="G188" s="2">
        <f t="shared" ref="G188:G190" si="39">F188*I188</f>
        <v>16461531</v>
      </c>
      <c r="I188" s="24">
        <f t="shared" ref="I188:I190" si="40">E188*1.5</f>
        <v>76.995</v>
      </c>
    </row>
    <row r="189">
      <c r="B189" s="1" t="s">
        <v>199</v>
      </c>
      <c r="C189" s="1" t="s">
        <v>197</v>
      </c>
      <c r="D189" s="1" t="s">
        <v>32</v>
      </c>
      <c r="E189" s="1">
        <v>10.0</v>
      </c>
      <c r="F189" s="4">
        <v>248300.0</v>
      </c>
      <c r="G189" s="2">
        <f t="shared" si="39"/>
        <v>3724500</v>
      </c>
      <c r="I189" s="24">
        <f t="shared" si="40"/>
        <v>15</v>
      </c>
    </row>
    <row r="190">
      <c r="B190" s="1" t="s">
        <v>200</v>
      </c>
      <c r="C190" s="1" t="s">
        <v>197</v>
      </c>
      <c r="D190" s="1" t="s">
        <v>32</v>
      </c>
      <c r="E190" s="1">
        <v>4.0</v>
      </c>
      <c r="F190" s="4">
        <v>248300.0</v>
      </c>
      <c r="G190" s="2">
        <f t="shared" si="39"/>
        <v>1489800</v>
      </c>
      <c r="I190" s="24">
        <f t="shared" si="40"/>
        <v>6</v>
      </c>
    </row>
    <row r="191">
      <c r="E191" s="3"/>
      <c r="F191" s="4"/>
    </row>
    <row r="192">
      <c r="B192" s="1" t="s">
        <v>201</v>
      </c>
      <c r="E192" s="3"/>
      <c r="F192" s="4"/>
    </row>
    <row r="193">
      <c r="B193" s="1" t="s">
        <v>202</v>
      </c>
      <c r="C193" s="1" t="s">
        <v>203</v>
      </c>
      <c r="D193" s="1" t="s">
        <v>24</v>
      </c>
      <c r="E193" s="1">
        <v>51.33</v>
      </c>
      <c r="F193" s="4">
        <v>133300.0</v>
      </c>
      <c r="G193" s="2">
        <f t="shared" ref="G193:G197" si="41">F193*I193</f>
        <v>10263433.5</v>
      </c>
      <c r="I193" s="24">
        <f t="shared" ref="I193:I197" si="42">E193*1.5</f>
        <v>76.995</v>
      </c>
    </row>
    <row r="194">
      <c r="B194" s="1" t="s">
        <v>204</v>
      </c>
      <c r="C194" s="1" t="s">
        <v>205</v>
      </c>
      <c r="D194" s="1" t="s">
        <v>24</v>
      </c>
      <c r="E194" s="1">
        <v>4.0</v>
      </c>
      <c r="F194" s="4">
        <v>173600.0</v>
      </c>
      <c r="G194" s="2">
        <f t="shared" si="41"/>
        <v>1041600</v>
      </c>
      <c r="I194" s="24">
        <f t="shared" si="42"/>
        <v>6</v>
      </c>
    </row>
    <row r="195">
      <c r="B195" s="1" t="s">
        <v>206</v>
      </c>
      <c r="C195" s="1" t="s">
        <v>205</v>
      </c>
      <c r="D195" s="1" t="s">
        <v>24</v>
      </c>
      <c r="E195" s="1">
        <v>0.66</v>
      </c>
      <c r="F195" s="4">
        <v>173600.0</v>
      </c>
      <c r="G195" s="2">
        <f t="shared" si="41"/>
        <v>171864</v>
      </c>
      <c r="I195" s="24">
        <f t="shared" si="42"/>
        <v>0.99</v>
      </c>
    </row>
    <row r="196">
      <c r="B196" s="1" t="s">
        <v>207</v>
      </c>
      <c r="C196" s="1" t="s">
        <v>205</v>
      </c>
      <c r="D196" s="1" t="s">
        <v>24</v>
      </c>
      <c r="E196" s="1">
        <v>10.0</v>
      </c>
      <c r="F196" s="4">
        <v>173600.0</v>
      </c>
      <c r="G196" s="2">
        <f t="shared" si="41"/>
        <v>2604000</v>
      </c>
      <c r="I196" s="24">
        <f t="shared" si="42"/>
        <v>15</v>
      </c>
    </row>
    <row r="197">
      <c r="B197" s="1" t="s">
        <v>208</v>
      </c>
      <c r="C197" s="1" t="s">
        <v>205</v>
      </c>
      <c r="D197" s="1" t="s">
        <v>24</v>
      </c>
      <c r="E197" s="1">
        <v>4.0</v>
      </c>
      <c r="F197" s="4">
        <v>173600.0</v>
      </c>
      <c r="G197" s="2">
        <f t="shared" si="41"/>
        <v>1041600</v>
      </c>
      <c r="I197" s="24">
        <f t="shared" si="42"/>
        <v>6</v>
      </c>
    </row>
    <row r="198">
      <c r="E198" s="3"/>
      <c r="F198" s="4"/>
    </row>
    <row r="199">
      <c r="B199" s="1" t="s">
        <v>209</v>
      </c>
      <c r="E199" s="3"/>
      <c r="F199" s="4"/>
    </row>
    <row r="200">
      <c r="B200" s="1" t="s">
        <v>210</v>
      </c>
      <c r="C200" s="1" t="s">
        <v>211</v>
      </c>
      <c r="D200" s="1" t="s">
        <v>24</v>
      </c>
      <c r="E200" s="3">
        <v>1.0</v>
      </c>
      <c r="F200" s="4">
        <v>327600.0</v>
      </c>
      <c r="G200" s="2">
        <f t="shared" ref="G200:G203" si="43">F200*I200</f>
        <v>491400</v>
      </c>
      <c r="I200" s="24">
        <f t="shared" ref="I200:I203" si="44">E200*1.5</f>
        <v>1.5</v>
      </c>
    </row>
    <row r="201">
      <c r="B201" s="1" t="s">
        <v>210</v>
      </c>
      <c r="C201" s="1" t="s">
        <v>212</v>
      </c>
      <c r="D201" s="1" t="s">
        <v>24</v>
      </c>
      <c r="E201" s="3">
        <v>2.0</v>
      </c>
      <c r="F201" s="4">
        <v>289700.0</v>
      </c>
      <c r="G201" s="2">
        <f t="shared" si="43"/>
        <v>869100</v>
      </c>
      <c r="I201" s="24">
        <f t="shared" si="44"/>
        <v>3</v>
      </c>
    </row>
    <row r="202">
      <c r="B202" s="1" t="s">
        <v>213</v>
      </c>
      <c r="C202" s="1" t="s">
        <v>214</v>
      </c>
      <c r="D202" s="1" t="s">
        <v>215</v>
      </c>
      <c r="E202" s="3">
        <v>24.0</v>
      </c>
      <c r="F202" s="4">
        <v>95400.0</v>
      </c>
      <c r="G202" s="2">
        <f t="shared" si="43"/>
        <v>3434400</v>
      </c>
      <c r="I202" s="24">
        <f t="shared" si="44"/>
        <v>36</v>
      </c>
    </row>
    <row r="203">
      <c r="B203" s="1" t="s">
        <v>216</v>
      </c>
      <c r="C203" s="1" t="s">
        <v>217</v>
      </c>
      <c r="D203" s="1" t="s">
        <v>11</v>
      </c>
      <c r="E203" s="3">
        <v>11.4</v>
      </c>
      <c r="F203" s="4">
        <v>108000.0</v>
      </c>
      <c r="G203" s="2">
        <f t="shared" si="43"/>
        <v>1846800</v>
      </c>
      <c r="I203" s="24">
        <f t="shared" si="44"/>
        <v>17.1</v>
      </c>
    </row>
    <row r="206">
      <c r="B206" s="22" t="s">
        <v>218</v>
      </c>
      <c r="H206" s="2">
        <f>sum(H2:H203)</f>
        <v>1081351521</v>
      </c>
    </row>
    <row r="207">
      <c r="B207" s="22" t="s">
        <v>219</v>
      </c>
      <c r="H207" s="2">
        <f>H206*0.1</f>
        <v>108135152.1</v>
      </c>
    </row>
    <row r="208">
      <c r="B208" s="22" t="s">
        <v>220</v>
      </c>
      <c r="H208" s="2">
        <f>H206+H207</f>
        <v>1189486673</v>
      </c>
    </row>
    <row r="209">
      <c r="B209" s="22" t="s">
        <v>221</v>
      </c>
      <c r="H209" s="26">
        <v>1.19E9</v>
      </c>
      <c r="K209" s="27"/>
    </row>
  </sheetData>
  <mergeCells count="4">
    <mergeCell ref="B206:G206"/>
    <mergeCell ref="B207:G207"/>
    <mergeCell ref="B208:G208"/>
    <mergeCell ref="B209:G209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57"/>
    <col customWidth="1" min="2" max="2" width="36.0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22.0"/>
    <col customWidth="1" min="10" max="10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</v>
      </c>
      <c r="B2" s="1" t="s">
        <v>8</v>
      </c>
      <c r="H2" s="2">
        <f>sum(G3:G9)</f>
        <v>21230600</v>
      </c>
    </row>
    <row r="3">
      <c r="B3" s="1" t="s">
        <v>9</v>
      </c>
      <c r="C3" s="1" t="s">
        <v>10</v>
      </c>
      <c r="D3" s="1" t="s">
        <v>11</v>
      </c>
      <c r="E3" s="3">
        <v>40.0</v>
      </c>
      <c r="F3" s="4">
        <v>17400.0</v>
      </c>
      <c r="G3" s="2">
        <f t="shared" ref="G3:G9" si="1">F3*E3</f>
        <v>696000</v>
      </c>
    </row>
    <row r="4">
      <c r="B4" s="1" t="s">
        <v>12</v>
      </c>
      <c r="D4" s="1" t="s">
        <v>13</v>
      </c>
      <c r="E4" s="3">
        <v>30.0</v>
      </c>
      <c r="F4" s="4">
        <v>150700.0</v>
      </c>
      <c r="G4" s="2">
        <f t="shared" si="1"/>
        <v>4521000</v>
      </c>
    </row>
    <row r="5">
      <c r="B5" s="1" t="s">
        <v>14</v>
      </c>
      <c r="D5" s="1" t="s">
        <v>13</v>
      </c>
      <c r="E5" s="3">
        <v>30.0</v>
      </c>
      <c r="F5" s="4">
        <v>150700.0</v>
      </c>
      <c r="G5" s="2">
        <f t="shared" si="1"/>
        <v>4521000</v>
      </c>
    </row>
    <row r="6">
      <c r="B6" s="1" t="s">
        <v>15</v>
      </c>
      <c r="D6" s="1" t="s">
        <v>16</v>
      </c>
      <c r="E6" s="3">
        <v>6.0</v>
      </c>
      <c r="F6" s="4">
        <v>340900.0</v>
      </c>
      <c r="G6" s="2">
        <f t="shared" si="1"/>
        <v>2045400</v>
      </c>
    </row>
    <row r="7">
      <c r="B7" s="1" t="s">
        <v>17</v>
      </c>
      <c r="C7" s="1" t="s">
        <v>18</v>
      </c>
      <c r="D7" s="1" t="s">
        <v>16</v>
      </c>
      <c r="E7" s="3">
        <v>6.0</v>
      </c>
      <c r="F7" s="4">
        <v>712800.0</v>
      </c>
      <c r="G7" s="2">
        <f t="shared" si="1"/>
        <v>4276800</v>
      </c>
    </row>
    <row r="8">
      <c r="B8" s="1" t="s">
        <v>19</v>
      </c>
      <c r="C8" s="1" t="s">
        <v>20</v>
      </c>
      <c r="D8" s="1" t="s">
        <v>21</v>
      </c>
      <c r="E8" s="3">
        <v>96.0</v>
      </c>
      <c r="F8" s="4">
        <v>11600.0</v>
      </c>
      <c r="G8" s="2">
        <f t="shared" si="1"/>
        <v>1113600</v>
      </c>
    </row>
    <row r="9">
      <c r="B9" s="1" t="s">
        <v>22</v>
      </c>
      <c r="C9" s="1" t="s">
        <v>23</v>
      </c>
      <c r="D9" s="1" t="s">
        <v>24</v>
      </c>
      <c r="E9" s="3">
        <v>1.0</v>
      </c>
      <c r="F9" s="4">
        <v>4056800.0</v>
      </c>
      <c r="G9" s="2">
        <f t="shared" si="1"/>
        <v>4056800</v>
      </c>
    </row>
    <row r="11">
      <c r="A11" s="1">
        <v>2.0</v>
      </c>
      <c r="B11" s="1" t="s">
        <v>25</v>
      </c>
      <c r="H11" s="2">
        <f>sum(G12:G44)</f>
        <v>230133864</v>
      </c>
    </row>
    <row r="12">
      <c r="B12" s="1" t="s">
        <v>26</v>
      </c>
    </row>
    <row r="13">
      <c r="B13" s="1" t="s">
        <v>27</v>
      </c>
      <c r="C13" s="1" t="s">
        <v>28</v>
      </c>
      <c r="D13" s="1" t="s">
        <v>11</v>
      </c>
      <c r="E13" s="1">
        <v>234.0</v>
      </c>
      <c r="F13" s="4">
        <v>396000.0</v>
      </c>
      <c r="G13" s="2">
        <f>F13*E13</f>
        <v>92664000</v>
      </c>
    </row>
    <row r="14">
      <c r="C14" s="1" t="s">
        <v>29</v>
      </c>
      <c r="F14" s="2"/>
    </row>
    <row r="15">
      <c r="C15" s="1" t="s">
        <v>30</v>
      </c>
      <c r="F15" s="2"/>
    </row>
    <row r="16">
      <c r="B16" s="1" t="s">
        <v>31</v>
      </c>
      <c r="D16" s="1" t="s">
        <v>32</v>
      </c>
      <c r="E16" s="1">
        <v>19.0</v>
      </c>
      <c r="F16" s="4">
        <v>60000.0</v>
      </c>
      <c r="G16" s="2">
        <f>F16*E16</f>
        <v>1140000</v>
      </c>
    </row>
    <row r="18">
      <c r="B18" s="1" t="s">
        <v>33</v>
      </c>
    </row>
    <row r="19">
      <c r="B19" s="1" t="s">
        <v>34</v>
      </c>
    </row>
    <row r="20">
      <c r="B20" s="1" t="s">
        <v>35</v>
      </c>
      <c r="D20" s="1" t="s">
        <v>36</v>
      </c>
      <c r="E20" s="1">
        <v>20.4</v>
      </c>
      <c r="F20" s="4">
        <v>93800.0</v>
      </c>
      <c r="G20" s="2">
        <f t="shared" ref="G20:G26" si="2">F20*E20</f>
        <v>1913520</v>
      </c>
    </row>
    <row r="21">
      <c r="B21" s="1" t="s">
        <v>37</v>
      </c>
      <c r="C21" s="1" t="s">
        <v>38</v>
      </c>
      <c r="D21" s="1" t="s">
        <v>13</v>
      </c>
      <c r="E21" s="1">
        <v>12.01</v>
      </c>
      <c r="F21" s="4">
        <v>30000.0</v>
      </c>
      <c r="G21" s="2">
        <f t="shared" si="2"/>
        <v>360300</v>
      </c>
    </row>
    <row r="22">
      <c r="B22" s="1" t="s">
        <v>39</v>
      </c>
      <c r="C22" s="1" t="s">
        <v>40</v>
      </c>
      <c r="D22" s="1" t="s">
        <v>36</v>
      </c>
      <c r="E22" s="1">
        <v>1.2</v>
      </c>
      <c r="F22" s="4">
        <v>549600.0</v>
      </c>
      <c r="G22" s="2">
        <f t="shared" si="2"/>
        <v>659520</v>
      </c>
    </row>
    <row r="23">
      <c r="B23" s="1" t="s">
        <v>41</v>
      </c>
      <c r="C23" s="1" t="s">
        <v>42</v>
      </c>
      <c r="D23" s="1" t="s">
        <v>36</v>
      </c>
      <c r="E23" s="1">
        <v>0.6</v>
      </c>
      <c r="F23" s="4">
        <v>751500.0</v>
      </c>
      <c r="G23" s="2">
        <f t="shared" si="2"/>
        <v>450900</v>
      </c>
    </row>
    <row r="24">
      <c r="B24" s="1" t="s">
        <v>43</v>
      </c>
      <c r="C24" s="1" t="s">
        <v>44</v>
      </c>
      <c r="D24" s="1" t="s">
        <v>13</v>
      </c>
      <c r="E24" s="1">
        <v>27.79</v>
      </c>
      <c r="F24" s="4">
        <v>114600.0</v>
      </c>
      <c r="G24" s="2">
        <f t="shared" si="2"/>
        <v>3184734</v>
      </c>
    </row>
    <row r="25">
      <c r="B25" s="1" t="s">
        <v>45</v>
      </c>
      <c r="C25" s="1" t="s">
        <v>46</v>
      </c>
      <c r="D25" s="1" t="s">
        <v>47</v>
      </c>
      <c r="E25" s="1">
        <v>1811.61</v>
      </c>
      <c r="F25" s="4">
        <v>13000.0</v>
      </c>
      <c r="G25" s="2">
        <f t="shared" si="2"/>
        <v>23550930</v>
      </c>
    </row>
    <row r="26">
      <c r="B26" s="1" t="s">
        <v>48</v>
      </c>
      <c r="C26" s="1" t="s">
        <v>49</v>
      </c>
      <c r="D26" s="1" t="s">
        <v>36</v>
      </c>
      <c r="E26" s="1">
        <v>9.42</v>
      </c>
      <c r="F26" s="4">
        <v>1238700.0</v>
      </c>
      <c r="G26" s="2">
        <f t="shared" si="2"/>
        <v>11668554</v>
      </c>
    </row>
    <row r="28">
      <c r="B28" s="1" t="s">
        <v>50</v>
      </c>
      <c r="D28" s="1" t="s">
        <v>36</v>
      </c>
      <c r="E28" s="1">
        <v>9.72</v>
      </c>
      <c r="F28" s="4">
        <v>96000.0</v>
      </c>
      <c r="G28" s="2">
        <f t="shared" ref="G28:G34" si="3">F28*E28</f>
        <v>933120</v>
      </c>
    </row>
    <row r="29">
      <c r="B29" s="1" t="s">
        <v>35</v>
      </c>
      <c r="C29" s="1" t="s">
        <v>38</v>
      </c>
      <c r="D29" s="1" t="s">
        <v>13</v>
      </c>
      <c r="E29" s="1">
        <v>16.06</v>
      </c>
      <c r="F29" s="4">
        <v>30000.0</v>
      </c>
      <c r="G29" s="2">
        <f t="shared" si="3"/>
        <v>481800</v>
      </c>
    </row>
    <row r="30">
      <c r="B30" s="1" t="s">
        <v>37</v>
      </c>
      <c r="C30" s="1" t="s">
        <v>40</v>
      </c>
      <c r="D30" s="1" t="s">
        <v>36</v>
      </c>
      <c r="E30" s="1">
        <v>1.5</v>
      </c>
      <c r="F30" s="4">
        <v>549600.0</v>
      </c>
      <c r="G30" s="2">
        <f t="shared" si="3"/>
        <v>824400</v>
      </c>
    </row>
    <row r="31">
      <c r="B31" s="1" t="s">
        <v>39</v>
      </c>
      <c r="C31" s="1" t="s">
        <v>42</v>
      </c>
      <c r="D31" s="1" t="s">
        <v>36</v>
      </c>
      <c r="E31" s="1">
        <v>0.75</v>
      </c>
      <c r="F31" s="4">
        <v>751500.0</v>
      </c>
      <c r="G31" s="2">
        <f t="shared" si="3"/>
        <v>563625</v>
      </c>
    </row>
    <row r="32">
      <c r="B32" s="1" t="s">
        <v>41</v>
      </c>
      <c r="C32" s="1" t="s">
        <v>44</v>
      </c>
      <c r="D32" s="1" t="s">
        <v>13</v>
      </c>
      <c r="E32" s="1">
        <v>59.83</v>
      </c>
      <c r="F32" s="4">
        <v>114600.0</v>
      </c>
      <c r="G32" s="2">
        <f t="shared" si="3"/>
        <v>6856518</v>
      </c>
    </row>
    <row r="33">
      <c r="B33" s="1" t="s">
        <v>43</v>
      </c>
      <c r="C33" s="1" t="s">
        <v>46</v>
      </c>
      <c r="D33" s="1" t="s">
        <v>47</v>
      </c>
      <c r="E33" s="1">
        <v>494.415</v>
      </c>
      <c r="F33" s="4">
        <v>13000.0</v>
      </c>
      <c r="G33" s="2">
        <f t="shared" si="3"/>
        <v>6427395</v>
      </c>
    </row>
    <row r="34">
      <c r="B34" s="1" t="s">
        <v>51</v>
      </c>
      <c r="C34" s="1" t="s">
        <v>49</v>
      </c>
      <c r="D34" s="1" t="s">
        <v>36</v>
      </c>
      <c r="E34" s="1">
        <v>7.48</v>
      </c>
      <c r="F34" s="4">
        <v>1238700.0</v>
      </c>
      <c r="G34" s="2">
        <f t="shared" si="3"/>
        <v>9265476</v>
      </c>
    </row>
    <row r="35">
      <c r="B35" s="1" t="s">
        <v>52</v>
      </c>
    </row>
    <row r="37">
      <c r="B37" s="1" t="s">
        <v>53</v>
      </c>
    </row>
    <row r="38">
      <c r="B38" s="1" t="s">
        <v>35</v>
      </c>
      <c r="D38" s="1" t="s">
        <v>36</v>
      </c>
      <c r="E38" s="1">
        <v>42.43</v>
      </c>
      <c r="F38" s="4">
        <v>96000.0</v>
      </c>
      <c r="G38" s="2">
        <f t="shared" ref="G38:G44" si="4">F38*E38</f>
        <v>4073280</v>
      </c>
    </row>
    <row r="39">
      <c r="B39" s="1" t="s">
        <v>37</v>
      </c>
      <c r="C39" s="1" t="s">
        <v>38</v>
      </c>
      <c r="D39" s="1" t="s">
        <v>13</v>
      </c>
      <c r="E39" s="1">
        <v>151.56</v>
      </c>
      <c r="F39" s="4">
        <v>30000.0</v>
      </c>
      <c r="G39" s="2">
        <f t="shared" si="4"/>
        <v>4546800</v>
      </c>
    </row>
    <row r="40">
      <c r="B40" s="1" t="s">
        <v>39</v>
      </c>
      <c r="C40" s="1" t="s">
        <v>40</v>
      </c>
      <c r="D40" s="1" t="s">
        <v>36</v>
      </c>
      <c r="E40" s="1">
        <v>15.15</v>
      </c>
      <c r="F40" s="4">
        <v>549600.0</v>
      </c>
      <c r="G40" s="2">
        <f t="shared" si="4"/>
        <v>8326440</v>
      </c>
    </row>
    <row r="41">
      <c r="B41" s="1" t="s">
        <v>41</v>
      </c>
      <c r="C41" s="1" t="s">
        <v>42</v>
      </c>
      <c r="D41" s="1" t="s">
        <v>36</v>
      </c>
      <c r="E41" s="1">
        <v>7.57</v>
      </c>
      <c r="F41" s="4">
        <v>751500.0</v>
      </c>
      <c r="G41" s="2">
        <f t="shared" si="4"/>
        <v>5688855</v>
      </c>
    </row>
    <row r="42">
      <c r="B42" s="1" t="s">
        <v>43</v>
      </c>
      <c r="C42" s="1" t="s">
        <v>44</v>
      </c>
      <c r="D42" s="1" t="s">
        <v>13</v>
      </c>
      <c r="E42" s="1">
        <v>12.0</v>
      </c>
      <c r="F42" s="4">
        <v>114600.0</v>
      </c>
      <c r="G42" s="2">
        <f t="shared" si="4"/>
        <v>1375200</v>
      </c>
    </row>
    <row r="43">
      <c r="B43" s="1" t="s">
        <v>51</v>
      </c>
      <c r="C43" s="1" t="s">
        <v>54</v>
      </c>
      <c r="D43" s="1" t="s">
        <v>13</v>
      </c>
      <c r="E43" s="1">
        <v>151.56</v>
      </c>
      <c r="F43" s="4">
        <v>137000.0</v>
      </c>
      <c r="G43" s="2">
        <f t="shared" si="4"/>
        <v>20763720</v>
      </c>
    </row>
    <row r="44">
      <c r="B44" s="1" t="s">
        <v>52</v>
      </c>
      <c r="C44" s="1" t="s">
        <v>49</v>
      </c>
      <c r="D44" s="1" t="s">
        <v>36</v>
      </c>
      <c r="E44" s="1">
        <v>19.71</v>
      </c>
      <c r="F44" s="4">
        <v>1238700.0</v>
      </c>
      <c r="G44" s="2">
        <f t="shared" si="4"/>
        <v>24414777</v>
      </c>
    </row>
    <row r="45">
      <c r="F45" s="4"/>
    </row>
    <row r="46">
      <c r="A46" s="1">
        <v>3.0</v>
      </c>
      <c r="B46" s="1" t="s">
        <v>55</v>
      </c>
      <c r="F46" s="4"/>
      <c r="H46" s="2">
        <f>sum(G48:G89)</f>
        <v>351400170</v>
      </c>
    </row>
    <row r="47">
      <c r="B47" s="1" t="s">
        <v>56</v>
      </c>
      <c r="F47" s="4"/>
    </row>
    <row r="48">
      <c r="B48" s="1" t="s">
        <v>43</v>
      </c>
      <c r="C48" s="1" t="s">
        <v>57</v>
      </c>
      <c r="D48" s="1" t="s">
        <v>13</v>
      </c>
      <c r="E48" s="1">
        <v>35.91</v>
      </c>
      <c r="F48" s="4">
        <v>114600.0</v>
      </c>
      <c r="G48" s="2">
        <f t="shared" ref="G48:G50" si="5">F48*E48</f>
        <v>4115286</v>
      </c>
    </row>
    <row r="49">
      <c r="B49" s="1" t="s">
        <v>45</v>
      </c>
      <c r="C49" s="1" t="s">
        <v>58</v>
      </c>
      <c r="D49" s="1" t="s">
        <v>47</v>
      </c>
      <c r="E49" s="1">
        <v>1035.69</v>
      </c>
      <c r="F49" s="4">
        <v>13000.0</v>
      </c>
      <c r="G49" s="2">
        <f t="shared" si="5"/>
        <v>13463970</v>
      </c>
    </row>
    <row r="50">
      <c r="B50" s="1" t="s">
        <v>52</v>
      </c>
      <c r="C50" s="1" t="s">
        <v>59</v>
      </c>
      <c r="D50" s="1" t="s">
        <v>36</v>
      </c>
      <c r="E50" s="1">
        <v>3.69</v>
      </c>
      <c r="F50" s="4">
        <v>1238700.0</v>
      </c>
      <c r="G50" s="2">
        <f t="shared" si="5"/>
        <v>4570803</v>
      </c>
    </row>
    <row r="51">
      <c r="F51" s="4"/>
    </row>
    <row r="52">
      <c r="B52" s="1" t="s">
        <v>60</v>
      </c>
      <c r="F52" s="4"/>
    </row>
    <row r="53">
      <c r="B53" s="1" t="s">
        <v>43</v>
      </c>
      <c r="C53" s="1" t="s">
        <v>61</v>
      </c>
      <c r="D53" s="1" t="s">
        <v>13</v>
      </c>
      <c r="E53" s="1">
        <v>77.77</v>
      </c>
      <c r="F53" s="4">
        <v>114600.0</v>
      </c>
      <c r="G53" s="2">
        <f t="shared" ref="G53:G55" si="6">F53*E53</f>
        <v>8912442</v>
      </c>
    </row>
    <row r="54">
      <c r="B54" s="1" t="s">
        <v>45</v>
      </c>
      <c r="C54" s="1" t="s">
        <v>58</v>
      </c>
      <c r="D54" s="1" t="s">
        <v>47</v>
      </c>
      <c r="E54" s="1">
        <v>1757.17</v>
      </c>
      <c r="F54" s="4">
        <v>13000.0</v>
      </c>
      <c r="G54" s="2">
        <f t="shared" si="6"/>
        <v>22843210</v>
      </c>
    </row>
    <row r="55">
      <c r="B55" s="1" t="s">
        <v>52</v>
      </c>
      <c r="C55" s="1" t="s">
        <v>62</v>
      </c>
      <c r="D55" s="1" t="s">
        <v>36</v>
      </c>
      <c r="E55" s="1">
        <v>9.49</v>
      </c>
      <c r="F55" s="4">
        <v>1238700.0</v>
      </c>
      <c r="G55" s="2">
        <f t="shared" si="6"/>
        <v>11755263</v>
      </c>
    </row>
    <row r="56">
      <c r="F56" s="4"/>
    </row>
    <row r="57">
      <c r="B57" s="1" t="s">
        <v>63</v>
      </c>
      <c r="F57" s="4"/>
    </row>
    <row r="58">
      <c r="B58" s="1" t="s">
        <v>64</v>
      </c>
      <c r="C58" s="1" t="s">
        <v>61</v>
      </c>
      <c r="D58" s="1" t="s">
        <v>13</v>
      </c>
      <c r="E58" s="1">
        <v>4.5</v>
      </c>
      <c r="F58" s="4">
        <v>114600.0</v>
      </c>
      <c r="G58" s="2">
        <f t="shared" ref="G58:G62" si="7">F58*E58</f>
        <v>515700</v>
      </c>
    </row>
    <row r="59">
      <c r="B59" s="1" t="s">
        <v>65</v>
      </c>
      <c r="C59" s="1" t="s">
        <v>66</v>
      </c>
      <c r="D59" s="1" t="s">
        <v>13</v>
      </c>
      <c r="E59" s="1">
        <v>157.56</v>
      </c>
      <c r="F59" s="4">
        <v>198000.0</v>
      </c>
      <c r="G59" s="2">
        <f t="shared" si="7"/>
        <v>31196880</v>
      </c>
    </row>
    <row r="60">
      <c r="B60" s="1" t="s">
        <v>51</v>
      </c>
      <c r="C60" s="1" t="s">
        <v>58</v>
      </c>
      <c r="D60" s="1" t="s">
        <v>47</v>
      </c>
      <c r="E60" s="1">
        <v>570.0</v>
      </c>
      <c r="F60" s="4">
        <v>13000.0</v>
      </c>
      <c r="G60" s="2">
        <f t="shared" si="7"/>
        <v>7410000</v>
      </c>
    </row>
    <row r="61">
      <c r="B61" s="1" t="s">
        <v>51</v>
      </c>
      <c r="C61" s="1" t="s">
        <v>67</v>
      </c>
      <c r="D61" s="1" t="s">
        <v>13</v>
      </c>
      <c r="E61" s="1">
        <v>162.06</v>
      </c>
      <c r="F61" s="4">
        <v>133900.0</v>
      </c>
      <c r="G61" s="2">
        <f t="shared" si="7"/>
        <v>21699834</v>
      </c>
    </row>
    <row r="62">
      <c r="B62" s="1" t="s">
        <v>52</v>
      </c>
      <c r="C62" s="1" t="s">
        <v>59</v>
      </c>
      <c r="D62" s="1" t="s">
        <v>36</v>
      </c>
      <c r="E62" s="1">
        <v>23.44</v>
      </c>
      <c r="F62" s="4">
        <v>1238700.0</v>
      </c>
      <c r="G62" s="2">
        <f t="shared" si="7"/>
        <v>29035128</v>
      </c>
    </row>
    <row r="63">
      <c r="F63" s="4"/>
    </row>
    <row r="64">
      <c r="B64" s="1" t="s">
        <v>68</v>
      </c>
      <c r="F64" s="4"/>
    </row>
    <row r="65">
      <c r="B65" s="1" t="s">
        <v>43</v>
      </c>
      <c r="C65" s="1" t="s">
        <v>57</v>
      </c>
      <c r="D65" s="1" t="s">
        <v>13</v>
      </c>
      <c r="E65" s="1">
        <v>35.91</v>
      </c>
      <c r="F65" s="4">
        <v>114600.0</v>
      </c>
      <c r="G65" s="2">
        <f t="shared" ref="G65:G67" si="8">F65*E65</f>
        <v>4115286</v>
      </c>
    </row>
    <row r="66">
      <c r="B66" s="1" t="s">
        <v>51</v>
      </c>
      <c r="C66" s="1" t="s">
        <v>58</v>
      </c>
      <c r="D66" s="1" t="s">
        <v>47</v>
      </c>
      <c r="E66" s="1">
        <v>1035.69</v>
      </c>
      <c r="F66" s="4">
        <v>13000.0</v>
      </c>
      <c r="G66" s="2">
        <f t="shared" si="8"/>
        <v>13463970</v>
      </c>
    </row>
    <row r="67">
      <c r="B67" s="1" t="s">
        <v>52</v>
      </c>
      <c r="C67" s="1" t="s">
        <v>69</v>
      </c>
      <c r="D67" s="1" t="s">
        <v>36</v>
      </c>
      <c r="E67" s="1">
        <v>3.69</v>
      </c>
      <c r="F67" s="4">
        <v>1238700.0</v>
      </c>
      <c r="G67" s="2">
        <f t="shared" si="8"/>
        <v>4570803</v>
      </c>
    </row>
    <row r="68">
      <c r="F68" s="4"/>
    </row>
    <row r="69">
      <c r="B69" s="1" t="s">
        <v>70</v>
      </c>
      <c r="F69" s="4"/>
    </row>
    <row r="70">
      <c r="B70" s="1" t="s">
        <v>43</v>
      </c>
      <c r="C70" s="1" t="s">
        <v>57</v>
      </c>
      <c r="D70" s="1" t="s">
        <v>13</v>
      </c>
      <c r="E70" s="1">
        <v>77.77</v>
      </c>
      <c r="F70" s="4">
        <v>114600.0</v>
      </c>
      <c r="G70" s="2">
        <f t="shared" ref="G70:G72" si="9">F70*E70</f>
        <v>8912442</v>
      </c>
    </row>
    <row r="71">
      <c r="B71" s="1" t="s">
        <v>51</v>
      </c>
      <c r="C71" s="1" t="s">
        <v>58</v>
      </c>
      <c r="D71" s="1" t="s">
        <v>47</v>
      </c>
      <c r="E71" s="1">
        <v>1757.0</v>
      </c>
      <c r="F71" s="4">
        <v>13000.0</v>
      </c>
      <c r="G71" s="2">
        <f t="shared" si="9"/>
        <v>22841000</v>
      </c>
    </row>
    <row r="72">
      <c r="B72" s="1" t="s">
        <v>52</v>
      </c>
      <c r="C72" s="1" t="s">
        <v>59</v>
      </c>
      <c r="D72" s="1" t="s">
        <v>36</v>
      </c>
      <c r="E72" s="1">
        <v>9.49</v>
      </c>
      <c r="F72" s="4">
        <v>1238700.0</v>
      </c>
      <c r="G72" s="2">
        <f t="shared" si="9"/>
        <v>11755263</v>
      </c>
    </row>
    <row r="73">
      <c r="F73" s="4"/>
    </row>
    <row r="74">
      <c r="B74" s="1" t="s">
        <v>76</v>
      </c>
      <c r="F74" s="4"/>
    </row>
    <row r="75">
      <c r="B75" s="1" t="s">
        <v>77</v>
      </c>
      <c r="C75" s="1" t="s">
        <v>57</v>
      </c>
      <c r="D75" s="1" t="s">
        <v>13</v>
      </c>
      <c r="E75" s="1">
        <v>82.32</v>
      </c>
      <c r="F75" s="4">
        <v>114600.0</v>
      </c>
      <c r="G75" s="2">
        <f t="shared" ref="G75:G77" si="10">F75*E75</f>
        <v>9433872</v>
      </c>
    </row>
    <row r="76">
      <c r="B76" s="1" t="s">
        <v>51</v>
      </c>
      <c r="C76" s="1" t="s">
        <v>58</v>
      </c>
      <c r="D76" s="1" t="s">
        <v>47</v>
      </c>
      <c r="E76" s="1">
        <v>1602.18</v>
      </c>
      <c r="F76" s="4">
        <v>13000.0</v>
      </c>
      <c r="G76" s="2">
        <f t="shared" si="10"/>
        <v>20828340</v>
      </c>
    </row>
    <row r="77">
      <c r="B77" s="1" t="s">
        <v>52</v>
      </c>
      <c r="C77" s="1" t="s">
        <v>69</v>
      </c>
      <c r="D77" s="1" t="s">
        <v>36</v>
      </c>
      <c r="E77" s="1">
        <v>9.7</v>
      </c>
      <c r="F77" s="4">
        <v>1238700.0</v>
      </c>
      <c r="G77" s="2">
        <f t="shared" si="10"/>
        <v>12015390</v>
      </c>
    </row>
    <row r="78">
      <c r="F78" s="4"/>
    </row>
    <row r="79">
      <c r="B79" s="1" t="s">
        <v>78</v>
      </c>
      <c r="F79" s="4"/>
    </row>
    <row r="80">
      <c r="B80" s="1" t="s">
        <v>73</v>
      </c>
      <c r="C80" s="1" t="s">
        <v>74</v>
      </c>
      <c r="D80" s="1" t="s">
        <v>13</v>
      </c>
      <c r="E80" s="1">
        <v>157.56</v>
      </c>
      <c r="F80" s="4">
        <v>186000.0</v>
      </c>
      <c r="G80" s="2">
        <f t="shared" ref="G80:G83" si="11">F80*E80</f>
        <v>29306160</v>
      </c>
    </row>
    <row r="81">
      <c r="B81" s="1" t="s">
        <v>51</v>
      </c>
      <c r="C81" s="1" t="s">
        <v>46</v>
      </c>
      <c r="D81" s="1" t="s">
        <v>47</v>
      </c>
      <c r="E81" s="1">
        <v>570.0</v>
      </c>
      <c r="F81" s="4">
        <v>13000.0</v>
      </c>
      <c r="G81" s="2">
        <f t="shared" si="11"/>
        <v>7410000</v>
      </c>
    </row>
    <row r="82">
      <c r="B82" s="1" t="s">
        <v>51</v>
      </c>
      <c r="C82" s="1" t="s">
        <v>67</v>
      </c>
      <c r="D82" s="1" t="s">
        <v>13</v>
      </c>
      <c r="E82" s="1">
        <v>162.0</v>
      </c>
      <c r="F82" s="4">
        <v>137000.0</v>
      </c>
      <c r="G82" s="2">
        <f t="shared" si="11"/>
        <v>22194000</v>
      </c>
    </row>
    <row r="83">
      <c r="B83" s="1" t="s">
        <v>52</v>
      </c>
      <c r="C83" s="1" t="s">
        <v>69</v>
      </c>
      <c r="D83" s="1" t="s">
        <v>36</v>
      </c>
      <c r="E83" s="1">
        <v>23.44</v>
      </c>
      <c r="F83" s="4">
        <v>1238700.0</v>
      </c>
      <c r="G83" s="2">
        <f t="shared" si="11"/>
        <v>29035128</v>
      </c>
    </row>
    <row r="84">
      <c r="F84" s="4"/>
    </row>
    <row r="85">
      <c r="F85" s="4"/>
    </row>
    <row r="86">
      <c r="B86" s="1" t="s">
        <v>85</v>
      </c>
      <c r="F86" s="4"/>
    </row>
    <row r="87">
      <c r="B87" s="1" t="s">
        <v>86</v>
      </c>
      <c r="C87" s="1" t="s">
        <v>57</v>
      </c>
      <c r="D87" s="1" t="s">
        <v>13</v>
      </c>
      <c r="F87" s="4">
        <v>114600.0</v>
      </c>
      <c r="G87" s="2">
        <f t="shared" ref="G87:G89" si="12">F87*E87</f>
        <v>0</v>
      </c>
    </row>
    <row r="88">
      <c r="B88" s="1" t="s">
        <v>51</v>
      </c>
      <c r="C88" s="1" t="s">
        <v>58</v>
      </c>
      <c r="D88" s="1" t="s">
        <v>47</v>
      </c>
      <c r="F88" s="4">
        <v>13000.0</v>
      </c>
      <c r="G88" s="2">
        <f t="shared" si="12"/>
        <v>0</v>
      </c>
    </row>
    <row r="89">
      <c r="B89" s="1" t="s">
        <v>52</v>
      </c>
      <c r="C89" s="1" t="s">
        <v>88</v>
      </c>
      <c r="D89" s="1" t="s">
        <v>36</v>
      </c>
      <c r="F89" s="4">
        <v>1238700.0</v>
      </c>
      <c r="G89" s="2">
        <f t="shared" si="12"/>
        <v>0</v>
      </c>
    </row>
    <row r="90">
      <c r="F90" s="4"/>
    </row>
    <row r="91">
      <c r="A91" s="1" t="s">
        <v>89</v>
      </c>
      <c r="B91" s="1" t="s">
        <v>90</v>
      </c>
      <c r="F91" s="4"/>
      <c r="H91" s="2">
        <f>sum(G93:G160)</f>
        <v>490900405</v>
      </c>
    </row>
    <row r="92">
      <c r="B92" s="1" t="s">
        <v>91</v>
      </c>
      <c r="F92" s="4"/>
    </row>
    <row r="93">
      <c r="B93" s="1" t="s">
        <v>95</v>
      </c>
      <c r="C93" s="1" t="s">
        <v>96</v>
      </c>
      <c r="D93" s="1" t="s">
        <v>13</v>
      </c>
      <c r="E93" s="1">
        <v>537.33</v>
      </c>
      <c r="F93" s="4">
        <v>137300.0</v>
      </c>
      <c r="G93" s="2">
        <f t="shared" ref="G93:G99" si="13">F93*E93</f>
        <v>73775409</v>
      </c>
    </row>
    <row r="94">
      <c r="B94" s="1" t="s">
        <v>99</v>
      </c>
      <c r="C94" s="1" t="s">
        <v>100</v>
      </c>
      <c r="D94" s="1" t="s">
        <v>13</v>
      </c>
      <c r="E94" s="1">
        <v>1074.67</v>
      </c>
      <c r="F94" s="4">
        <v>49200.0</v>
      </c>
      <c r="G94" s="2">
        <f t="shared" si="13"/>
        <v>52873764</v>
      </c>
    </row>
    <row r="95">
      <c r="B95" s="1" t="s">
        <v>102</v>
      </c>
      <c r="C95" s="1" t="s">
        <v>100</v>
      </c>
      <c r="D95" s="1" t="s">
        <v>13</v>
      </c>
      <c r="E95" s="1">
        <v>1074.67</v>
      </c>
      <c r="F95" s="4">
        <v>22600.0</v>
      </c>
      <c r="G95" s="2">
        <f t="shared" si="13"/>
        <v>24287542</v>
      </c>
    </row>
    <row r="96">
      <c r="B96" s="1" t="s">
        <v>103</v>
      </c>
      <c r="D96" s="1" t="s">
        <v>13</v>
      </c>
      <c r="E96" s="1">
        <v>708.82</v>
      </c>
      <c r="F96" s="4">
        <v>21600.0</v>
      </c>
      <c r="G96" s="2">
        <f t="shared" si="13"/>
        <v>15310512</v>
      </c>
    </row>
    <row r="97">
      <c r="B97" s="1" t="s">
        <v>222</v>
      </c>
      <c r="C97" s="1" t="s">
        <v>223</v>
      </c>
      <c r="D97" s="1" t="s">
        <v>13</v>
      </c>
      <c r="E97" s="1">
        <v>210.8</v>
      </c>
      <c r="F97" s="4">
        <v>230000.0</v>
      </c>
      <c r="G97" s="2">
        <f t="shared" si="13"/>
        <v>48484000</v>
      </c>
    </row>
    <row r="98">
      <c r="B98" s="1" t="s">
        <v>104</v>
      </c>
      <c r="D98" s="1" t="s">
        <v>13</v>
      </c>
      <c r="E98" s="1">
        <v>166.82</v>
      </c>
      <c r="F98" s="4">
        <v>30000.0</v>
      </c>
      <c r="G98" s="2">
        <f t="shared" si="13"/>
        <v>5004600</v>
      </c>
    </row>
    <row r="99">
      <c r="B99" s="1" t="s">
        <v>105</v>
      </c>
      <c r="D99" s="1" t="s">
        <v>13</v>
      </c>
      <c r="E99" s="1">
        <v>65.73</v>
      </c>
      <c r="F99" s="4">
        <v>281000.0</v>
      </c>
      <c r="G99" s="2">
        <f t="shared" si="13"/>
        <v>18470130</v>
      </c>
    </row>
    <row r="100">
      <c r="B100" s="1" t="s">
        <v>106</v>
      </c>
      <c r="F100" s="4"/>
    </row>
    <row r="101">
      <c r="B101" s="1" t="s">
        <v>225</v>
      </c>
      <c r="C101" s="1" t="s">
        <v>226</v>
      </c>
      <c r="D101" s="1" t="s">
        <v>13</v>
      </c>
      <c r="F101" s="4">
        <v>380000.0</v>
      </c>
      <c r="G101" s="2">
        <f>F101*E101</f>
        <v>0</v>
      </c>
    </row>
    <row r="102">
      <c r="B102" s="1"/>
      <c r="F102" s="4"/>
    </row>
    <row r="103">
      <c r="B103" s="1" t="s">
        <v>107</v>
      </c>
      <c r="F103" s="4"/>
    </row>
    <row r="104">
      <c r="B104" s="1" t="s">
        <v>108</v>
      </c>
      <c r="D104" s="1" t="s">
        <v>13</v>
      </c>
      <c r="E104" s="1">
        <v>468.3</v>
      </c>
      <c r="F104" s="4">
        <v>46200.0</v>
      </c>
      <c r="G104" s="2">
        <f t="shared" ref="G104:G109" si="14">F104*E104</f>
        <v>21635460</v>
      </c>
    </row>
    <row r="105">
      <c r="B105" s="1" t="s">
        <v>109</v>
      </c>
      <c r="C105" s="1" t="s">
        <v>110</v>
      </c>
      <c r="D105" s="1" t="s">
        <v>13</v>
      </c>
      <c r="E105" s="1">
        <v>287.14</v>
      </c>
      <c r="F105" s="4">
        <v>286300.0</v>
      </c>
      <c r="G105" s="2">
        <f t="shared" si="14"/>
        <v>82208182</v>
      </c>
    </row>
    <row r="106">
      <c r="B106" s="1" t="s">
        <v>111</v>
      </c>
      <c r="C106" s="1" t="s">
        <v>110</v>
      </c>
      <c r="D106" s="1" t="s">
        <v>13</v>
      </c>
      <c r="E106" s="1">
        <v>12.3</v>
      </c>
      <c r="F106" s="4">
        <v>286300.0</v>
      </c>
      <c r="G106" s="2">
        <f t="shared" si="14"/>
        <v>3521490</v>
      </c>
    </row>
    <row r="107">
      <c r="B107" s="1" t="s">
        <v>112</v>
      </c>
      <c r="C107" s="1" t="s">
        <v>113</v>
      </c>
      <c r="D107" s="1" t="s">
        <v>13</v>
      </c>
      <c r="E107" s="1">
        <v>38.51</v>
      </c>
      <c r="F107" s="4">
        <v>267600.0</v>
      </c>
      <c r="G107" s="2">
        <f t="shared" si="14"/>
        <v>10305276</v>
      </c>
    </row>
    <row r="108">
      <c r="B108" s="1" t="s">
        <v>114</v>
      </c>
      <c r="C108" s="1" t="s">
        <v>115</v>
      </c>
      <c r="D108" s="1" t="s">
        <v>13</v>
      </c>
      <c r="E108" s="1">
        <v>121.9</v>
      </c>
      <c r="F108" s="4">
        <v>108000.0</v>
      </c>
      <c r="G108" s="2">
        <f t="shared" si="14"/>
        <v>13165200</v>
      </c>
    </row>
    <row r="109">
      <c r="B109" s="1" t="s">
        <v>116</v>
      </c>
      <c r="C109" s="1" t="s">
        <v>117</v>
      </c>
      <c r="D109" s="1" t="s">
        <v>13</v>
      </c>
      <c r="E109" s="1">
        <v>19.44</v>
      </c>
      <c r="F109" s="4">
        <v>540000.0</v>
      </c>
      <c r="G109" s="2">
        <f t="shared" si="14"/>
        <v>10497600</v>
      </c>
    </row>
    <row r="111">
      <c r="F111" s="4"/>
    </row>
    <row r="112">
      <c r="B112" s="1" t="s">
        <v>118</v>
      </c>
      <c r="F112" s="4"/>
    </row>
    <row r="113">
      <c r="B113" s="1" t="s">
        <v>108</v>
      </c>
      <c r="D113" s="1" t="s">
        <v>13</v>
      </c>
      <c r="F113" s="4">
        <v>46200.0</v>
      </c>
      <c r="G113" s="2">
        <f t="shared" ref="G113:G115" si="15">F113*E113</f>
        <v>0</v>
      </c>
    </row>
    <row r="114">
      <c r="B114" s="1" t="s">
        <v>119</v>
      </c>
      <c r="C114" s="1" t="s">
        <v>120</v>
      </c>
      <c r="D114" s="1" t="s">
        <v>13</v>
      </c>
      <c r="F114" s="4">
        <v>335000.0</v>
      </c>
      <c r="G114" s="2">
        <f t="shared" si="15"/>
        <v>0</v>
      </c>
    </row>
    <row r="115">
      <c r="B115" s="1" t="s">
        <v>121</v>
      </c>
      <c r="D115" s="1" t="s">
        <v>11</v>
      </c>
      <c r="F115" s="4">
        <v>660000.0</v>
      </c>
      <c r="G115" s="2">
        <f t="shared" si="15"/>
        <v>0</v>
      </c>
    </row>
    <row r="116">
      <c r="F116" s="4"/>
    </row>
    <row r="117">
      <c r="B117" s="1" t="s">
        <v>122</v>
      </c>
      <c r="F117" s="4"/>
    </row>
    <row r="118">
      <c r="B118" s="1" t="s">
        <v>123</v>
      </c>
      <c r="C118" s="1" t="s">
        <v>124</v>
      </c>
      <c r="D118" s="1" t="s">
        <v>13</v>
      </c>
      <c r="E118" s="1">
        <v>420.01</v>
      </c>
      <c r="F118" s="4">
        <v>114000.0</v>
      </c>
      <c r="G118" s="2">
        <f t="shared" ref="G118:G123" si="16">F118*E118</f>
        <v>47881140</v>
      </c>
    </row>
    <row r="119">
      <c r="B119" s="1" t="s">
        <v>125</v>
      </c>
      <c r="C119" s="1" t="s">
        <v>126</v>
      </c>
      <c r="D119" s="1" t="s">
        <v>13</v>
      </c>
      <c r="E119" s="1">
        <v>62.49</v>
      </c>
      <c r="F119" s="4">
        <v>132000.0</v>
      </c>
      <c r="G119" s="2">
        <f t="shared" si="16"/>
        <v>8248680</v>
      </c>
    </row>
    <row r="120">
      <c r="B120" s="1" t="s">
        <v>127</v>
      </c>
      <c r="C120" s="1" t="s">
        <v>128</v>
      </c>
      <c r="D120" s="1" t="s">
        <v>13</v>
      </c>
      <c r="E120" s="1">
        <v>31.88</v>
      </c>
      <c r="F120" s="4">
        <v>24000.0</v>
      </c>
      <c r="G120" s="2">
        <f t="shared" si="16"/>
        <v>765120</v>
      </c>
    </row>
    <row r="121">
      <c r="B121" s="1" t="s">
        <v>129</v>
      </c>
      <c r="D121" s="1" t="s">
        <v>11</v>
      </c>
      <c r="E121" s="1">
        <v>185.08</v>
      </c>
      <c r="F121" s="4">
        <v>19800.0</v>
      </c>
      <c r="G121" s="2">
        <f t="shared" si="16"/>
        <v>3664584</v>
      </c>
    </row>
    <row r="122">
      <c r="B122" s="1" t="s">
        <v>130</v>
      </c>
      <c r="C122" s="1" t="s">
        <v>131</v>
      </c>
      <c r="D122" s="1" t="s">
        <v>13</v>
      </c>
      <c r="E122" s="1">
        <v>11.97</v>
      </c>
      <c r="F122" s="4">
        <v>132000.0</v>
      </c>
      <c r="G122" s="2">
        <f t="shared" si="16"/>
        <v>1580040</v>
      </c>
    </row>
    <row r="123">
      <c r="B123" s="1" t="s">
        <v>132</v>
      </c>
      <c r="D123" s="1" t="s">
        <v>13</v>
      </c>
      <c r="E123" s="1">
        <v>526.36</v>
      </c>
      <c r="F123" s="4">
        <v>21600.0</v>
      </c>
      <c r="G123" s="2">
        <f t="shared" si="16"/>
        <v>11369376</v>
      </c>
    </row>
    <row r="124">
      <c r="F124" s="4"/>
    </row>
    <row r="125">
      <c r="B125" s="1" t="s">
        <v>133</v>
      </c>
      <c r="F125" s="4"/>
    </row>
    <row r="126">
      <c r="B126" s="1" t="s">
        <v>134</v>
      </c>
      <c r="C126" s="1" t="s">
        <v>135</v>
      </c>
      <c r="D126" s="1" t="s">
        <v>24</v>
      </c>
      <c r="F126" s="4">
        <v>1.57848E7</v>
      </c>
      <c r="G126" s="2">
        <f>F126*E126</f>
        <v>0</v>
      </c>
    </row>
    <row r="127">
      <c r="C127" s="1" t="s">
        <v>136</v>
      </c>
      <c r="F127" s="4"/>
    </row>
    <row r="128">
      <c r="C128" s="1" t="s">
        <v>137</v>
      </c>
      <c r="F128" s="4"/>
    </row>
    <row r="129">
      <c r="C129" s="1" t="s">
        <v>138</v>
      </c>
      <c r="F129" s="4"/>
    </row>
    <row r="130">
      <c r="C130" s="1" t="s">
        <v>139</v>
      </c>
      <c r="F130" s="4"/>
    </row>
    <row r="131">
      <c r="F131" s="4"/>
    </row>
    <row r="132">
      <c r="F132" s="4"/>
    </row>
    <row r="133">
      <c r="B133" s="1" t="s">
        <v>140</v>
      </c>
      <c r="C133" s="1" t="s">
        <v>141</v>
      </c>
      <c r="D133" s="1" t="s">
        <v>13</v>
      </c>
      <c r="F133" s="4">
        <v>1440000.0</v>
      </c>
      <c r="G133" s="2">
        <f>F133*E133</f>
        <v>0</v>
      </c>
    </row>
    <row r="134">
      <c r="C134" s="1" t="s">
        <v>142</v>
      </c>
      <c r="F134" s="4"/>
    </row>
    <row r="135">
      <c r="F135" s="4"/>
    </row>
    <row r="136">
      <c r="B136" s="1" t="s">
        <v>140</v>
      </c>
      <c r="C136" s="1" t="s">
        <v>141</v>
      </c>
      <c r="D136" s="1" t="s">
        <v>13</v>
      </c>
      <c r="F136" s="4">
        <v>1440000.0</v>
      </c>
      <c r="G136" s="2">
        <f>F136*E136</f>
        <v>0</v>
      </c>
    </row>
    <row r="137">
      <c r="C137" s="1" t="s">
        <v>142</v>
      </c>
      <c r="F137" s="4"/>
    </row>
    <row r="138">
      <c r="F138" s="4"/>
    </row>
    <row r="139">
      <c r="B139" s="1" t="s">
        <v>143</v>
      </c>
      <c r="C139" s="1" t="s">
        <v>135</v>
      </c>
      <c r="D139" s="1" t="s">
        <v>24</v>
      </c>
      <c r="F139" s="4">
        <v>5980200.0</v>
      </c>
      <c r="G139" s="2">
        <f>F139*E139</f>
        <v>0</v>
      </c>
    </row>
    <row r="140">
      <c r="C140" s="1" t="s">
        <v>144</v>
      </c>
      <c r="F140" s="4"/>
    </row>
    <row r="141">
      <c r="C141" s="1" t="s">
        <v>145</v>
      </c>
      <c r="F141" s="4"/>
    </row>
    <row r="142">
      <c r="C142" s="1" t="s">
        <v>146</v>
      </c>
      <c r="F142" s="4"/>
    </row>
    <row r="143">
      <c r="C143" s="1" t="s">
        <v>147</v>
      </c>
      <c r="F143" s="4"/>
    </row>
    <row r="144">
      <c r="F144" s="4"/>
    </row>
    <row r="145">
      <c r="B145" s="1" t="s">
        <v>148</v>
      </c>
      <c r="C145" s="1" t="s">
        <v>135</v>
      </c>
      <c r="D145" s="1" t="s">
        <v>24</v>
      </c>
      <c r="F145" s="4">
        <v>5837600.0</v>
      </c>
      <c r="G145" s="2">
        <f>F145*E145</f>
        <v>0</v>
      </c>
    </row>
    <row r="146">
      <c r="C146" s="1" t="s">
        <v>149</v>
      </c>
      <c r="F146" s="4"/>
    </row>
    <row r="147">
      <c r="C147" s="1" t="s">
        <v>146</v>
      </c>
      <c r="F147" s="4"/>
    </row>
    <row r="148">
      <c r="E148" s="3"/>
      <c r="F148" s="4"/>
    </row>
    <row r="149">
      <c r="B149" s="1" t="s">
        <v>150</v>
      </c>
      <c r="C149" s="1" t="s">
        <v>135</v>
      </c>
      <c r="D149" s="1" t="s">
        <v>24</v>
      </c>
      <c r="E149" s="3">
        <v>2.0</v>
      </c>
      <c r="F149" s="4">
        <v>5418500.0</v>
      </c>
      <c r="G149" s="2">
        <f>F149*E149</f>
        <v>10837000</v>
      </c>
    </row>
    <row r="150">
      <c r="C150" s="1" t="s">
        <v>149</v>
      </c>
      <c r="E150" s="3"/>
      <c r="F150" s="4"/>
    </row>
    <row r="151">
      <c r="C151" s="1" t="s">
        <v>146</v>
      </c>
      <c r="E151" s="3"/>
      <c r="F151" s="4"/>
    </row>
    <row r="152">
      <c r="E152" s="3"/>
      <c r="F152" s="4"/>
    </row>
    <row r="153">
      <c r="B153" s="1" t="s">
        <v>151</v>
      </c>
      <c r="C153" s="1" t="s">
        <v>135</v>
      </c>
      <c r="D153" s="1" t="s">
        <v>24</v>
      </c>
      <c r="E153" s="3">
        <v>2.0</v>
      </c>
      <c r="F153" s="4">
        <v>8089400.0</v>
      </c>
      <c r="G153" s="2">
        <f>F153*E153</f>
        <v>16178800</v>
      </c>
    </row>
    <row r="154">
      <c r="C154" s="1" t="s">
        <v>149</v>
      </c>
    </row>
    <row r="155">
      <c r="C155" s="1" t="s">
        <v>146</v>
      </c>
    </row>
    <row r="157">
      <c r="B157" s="1" t="s">
        <v>152</v>
      </c>
    </row>
    <row r="158">
      <c r="B158" s="1" t="s">
        <v>153</v>
      </c>
      <c r="C158" s="1" t="s">
        <v>154</v>
      </c>
      <c r="D158" s="1" t="s">
        <v>24</v>
      </c>
      <c r="E158" s="3">
        <v>3.0</v>
      </c>
      <c r="F158" s="4">
        <v>1647100.0</v>
      </c>
      <c r="G158" s="2">
        <f t="shared" ref="G158:G160" si="17">F158*E158</f>
        <v>4941300</v>
      </c>
    </row>
    <row r="159">
      <c r="B159" s="1" t="s">
        <v>155</v>
      </c>
      <c r="C159" s="1" t="s">
        <v>156</v>
      </c>
      <c r="D159" s="1" t="s">
        <v>24</v>
      </c>
      <c r="E159" s="3">
        <v>2.0</v>
      </c>
      <c r="F159" s="4">
        <v>1352900.0</v>
      </c>
      <c r="G159" s="2">
        <f t="shared" si="17"/>
        <v>2705800</v>
      </c>
    </row>
    <row r="160">
      <c r="B160" s="1" t="s">
        <v>157</v>
      </c>
      <c r="C160" s="1" t="s">
        <v>154</v>
      </c>
      <c r="D160" s="1" t="s">
        <v>24</v>
      </c>
      <c r="E160" s="3">
        <v>1.0</v>
      </c>
      <c r="F160" s="4">
        <v>3189400.0</v>
      </c>
      <c r="G160" s="2">
        <f t="shared" si="17"/>
        <v>3189400</v>
      </c>
    </row>
    <row r="161">
      <c r="E161" s="3"/>
      <c r="F161" s="4"/>
    </row>
    <row r="162">
      <c r="B162" s="1" t="s">
        <v>158</v>
      </c>
      <c r="E162" s="3"/>
      <c r="F162" s="4"/>
      <c r="H162" s="2">
        <f>sum(G164:G185)</f>
        <v>49456405</v>
      </c>
    </row>
    <row r="163">
      <c r="B163" s="1" t="s">
        <v>159</v>
      </c>
      <c r="E163" s="3"/>
      <c r="F163" s="4"/>
    </row>
    <row r="164">
      <c r="B164" s="1" t="s">
        <v>160</v>
      </c>
      <c r="C164" s="1" t="s">
        <v>161</v>
      </c>
      <c r="D164" s="1" t="s">
        <v>11</v>
      </c>
      <c r="E164" s="1">
        <v>29.36</v>
      </c>
      <c r="F164" s="4">
        <v>36100.0</v>
      </c>
      <c r="G164" s="2">
        <f t="shared" ref="G164:G173" si="18">F164*E164</f>
        <v>1059896</v>
      </c>
    </row>
    <row r="165">
      <c r="B165" s="1" t="s">
        <v>162</v>
      </c>
      <c r="C165" s="1" t="s">
        <v>163</v>
      </c>
      <c r="D165" s="1" t="s">
        <v>11</v>
      </c>
      <c r="E165" s="1">
        <v>24.56</v>
      </c>
      <c r="F165" s="4">
        <v>177000.0</v>
      </c>
      <c r="G165" s="2">
        <f t="shared" si="18"/>
        <v>4347120</v>
      </c>
    </row>
    <row r="166">
      <c r="B166" s="1" t="s">
        <v>164</v>
      </c>
      <c r="C166" s="1" t="s">
        <v>165</v>
      </c>
      <c r="D166" s="1" t="s">
        <v>11</v>
      </c>
      <c r="E166" s="1">
        <v>14.93</v>
      </c>
      <c r="F166" s="4">
        <v>47700.0</v>
      </c>
      <c r="G166" s="2">
        <f t="shared" si="18"/>
        <v>712161</v>
      </c>
    </row>
    <row r="167">
      <c r="B167" s="1" t="s">
        <v>166</v>
      </c>
      <c r="C167" s="1" t="s">
        <v>167</v>
      </c>
      <c r="D167" s="1" t="s">
        <v>11</v>
      </c>
      <c r="E167" s="1">
        <v>24.56</v>
      </c>
      <c r="F167" s="4">
        <v>74300.0</v>
      </c>
      <c r="G167" s="2">
        <f t="shared" si="18"/>
        <v>1824808</v>
      </c>
    </row>
    <row r="168">
      <c r="B168" s="1" t="s">
        <v>168</v>
      </c>
      <c r="C168" s="1" t="s">
        <v>163</v>
      </c>
      <c r="D168" s="1" t="s">
        <v>11</v>
      </c>
      <c r="E168" s="1">
        <v>37.86</v>
      </c>
      <c r="F168" s="4">
        <v>177000.0</v>
      </c>
      <c r="G168" s="2">
        <f t="shared" si="18"/>
        <v>6701220</v>
      </c>
    </row>
    <row r="169">
      <c r="B169" s="1" t="s">
        <v>169</v>
      </c>
      <c r="D169" s="1" t="s">
        <v>21</v>
      </c>
      <c r="E169" s="3">
        <v>1.0</v>
      </c>
      <c r="F169" s="4">
        <v>4597700.0</v>
      </c>
      <c r="G169" s="2">
        <f t="shared" si="18"/>
        <v>4597700</v>
      </c>
    </row>
    <row r="170">
      <c r="B170" s="1" t="s">
        <v>170</v>
      </c>
      <c r="D170" s="1" t="s">
        <v>21</v>
      </c>
      <c r="E170" s="3">
        <v>1.0</v>
      </c>
      <c r="F170" s="4">
        <v>5172400.0</v>
      </c>
      <c r="G170" s="2">
        <f t="shared" si="18"/>
        <v>5172400</v>
      </c>
    </row>
    <row r="171">
      <c r="B171" s="1" t="s">
        <v>171</v>
      </c>
      <c r="C171" s="1" t="s">
        <v>172</v>
      </c>
      <c r="D171" s="1" t="s">
        <v>24</v>
      </c>
      <c r="E171" s="3">
        <v>6.0</v>
      </c>
      <c r="F171" s="4">
        <v>316100.0</v>
      </c>
      <c r="G171" s="2">
        <f t="shared" si="18"/>
        <v>1896600</v>
      </c>
    </row>
    <row r="172">
      <c r="B172" s="1" t="s">
        <v>173</v>
      </c>
      <c r="C172" s="1" t="s">
        <v>172</v>
      </c>
      <c r="D172" s="1" t="s">
        <v>24</v>
      </c>
      <c r="E172" s="3">
        <v>6.0</v>
      </c>
      <c r="F172" s="4">
        <v>316100.0</v>
      </c>
      <c r="G172" s="2">
        <f t="shared" si="18"/>
        <v>1896600</v>
      </c>
    </row>
    <row r="173">
      <c r="B173" s="1" t="s">
        <v>174</v>
      </c>
      <c r="C173" s="1" t="s">
        <v>175</v>
      </c>
      <c r="D173" s="1" t="s">
        <v>24</v>
      </c>
      <c r="E173" s="3">
        <v>7.0</v>
      </c>
      <c r="F173" s="4">
        <v>201100.0</v>
      </c>
      <c r="G173" s="2">
        <f t="shared" si="18"/>
        <v>1407700</v>
      </c>
    </row>
    <row r="174">
      <c r="E174" s="3"/>
      <c r="F174" s="4"/>
    </row>
    <row r="175">
      <c r="B175" s="1" t="s">
        <v>176</v>
      </c>
      <c r="E175" s="3"/>
      <c r="F175" s="4"/>
    </row>
    <row r="176">
      <c r="B176" s="1" t="s">
        <v>177</v>
      </c>
      <c r="C176" s="1" t="s">
        <v>178</v>
      </c>
      <c r="D176" s="1" t="s">
        <v>24</v>
      </c>
      <c r="E176" s="3">
        <v>2.0</v>
      </c>
      <c r="F176" s="4">
        <v>2592700.0</v>
      </c>
      <c r="G176" s="2">
        <f t="shared" ref="G176:G180" si="19">F176*E176</f>
        <v>5185400</v>
      </c>
    </row>
    <row r="177">
      <c r="B177" s="1" t="s">
        <v>180</v>
      </c>
      <c r="C177" s="1" t="s">
        <v>181</v>
      </c>
      <c r="D177" s="1" t="s">
        <v>24</v>
      </c>
      <c r="E177" s="3">
        <v>2.0</v>
      </c>
      <c r="F177" s="4">
        <v>263200.0</v>
      </c>
      <c r="G177" s="2">
        <f t="shared" si="19"/>
        <v>526400</v>
      </c>
    </row>
    <row r="178">
      <c r="B178" s="1" t="s">
        <v>182</v>
      </c>
      <c r="C178" s="1" t="s">
        <v>183</v>
      </c>
      <c r="D178" s="1" t="s">
        <v>24</v>
      </c>
      <c r="E178" s="3">
        <v>2.0</v>
      </c>
      <c r="F178" s="4">
        <v>1424400.0</v>
      </c>
      <c r="G178" s="2">
        <f t="shared" si="19"/>
        <v>2848800</v>
      </c>
    </row>
    <row r="179">
      <c r="B179" s="1" t="s">
        <v>184</v>
      </c>
      <c r="C179" s="1" t="s">
        <v>185</v>
      </c>
      <c r="D179" s="1" t="s">
        <v>24</v>
      </c>
      <c r="E179" s="3">
        <v>2.0</v>
      </c>
      <c r="F179" s="4">
        <v>363500.0</v>
      </c>
      <c r="G179" s="2">
        <f t="shared" si="19"/>
        <v>727000</v>
      </c>
    </row>
    <row r="180">
      <c r="B180" s="1" t="s">
        <v>186</v>
      </c>
      <c r="C180" s="1" t="s">
        <v>187</v>
      </c>
      <c r="D180" s="1" t="s">
        <v>24</v>
      </c>
      <c r="E180" s="3">
        <v>2.0</v>
      </c>
      <c r="F180" s="4">
        <v>276300.0</v>
      </c>
      <c r="G180" s="2">
        <f t="shared" si="19"/>
        <v>552600</v>
      </c>
    </row>
    <row r="181">
      <c r="E181" s="3"/>
      <c r="F181" s="4"/>
    </row>
    <row r="182">
      <c r="B182" s="1" t="s">
        <v>188</v>
      </c>
      <c r="E182" s="3"/>
      <c r="F182" s="4"/>
    </row>
    <row r="183">
      <c r="B183" s="1" t="s">
        <v>189</v>
      </c>
      <c r="C183" s="1" t="s">
        <v>190</v>
      </c>
      <c r="D183" s="1" t="s">
        <v>24</v>
      </c>
      <c r="E183" s="3">
        <v>1.0</v>
      </c>
      <c r="F183" s="4">
        <v>3620700.0</v>
      </c>
      <c r="G183" s="2">
        <f t="shared" ref="G183:G185" si="20">F183*E183</f>
        <v>3620700</v>
      </c>
    </row>
    <row r="184">
      <c r="B184" s="1" t="s">
        <v>191</v>
      </c>
      <c r="C184" s="1" t="s">
        <v>192</v>
      </c>
      <c r="D184" s="1" t="s">
        <v>24</v>
      </c>
      <c r="E184" s="3">
        <v>1.0</v>
      </c>
      <c r="F184" s="4">
        <v>2183900.0</v>
      </c>
      <c r="G184" s="2">
        <f t="shared" si="20"/>
        <v>2183900</v>
      </c>
    </row>
    <row r="185">
      <c r="B185" s="1" t="s">
        <v>193</v>
      </c>
      <c r="C185" s="1" t="s">
        <v>194</v>
      </c>
      <c r="D185" s="1" t="s">
        <v>24</v>
      </c>
      <c r="E185" s="3">
        <v>1.0</v>
      </c>
      <c r="F185" s="4">
        <v>4195400.0</v>
      </c>
      <c r="G185" s="2">
        <f t="shared" si="20"/>
        <v>4195400</v>
      </c>
    </row>
    <row r="186">
      <c r="E186" s="3"/>
      <c r="F186" s="4"/>
    </row>
    <row r="187">
      <c r="B187" s="1" t="s">
        <v>195</v>
      </c>
      <c r="E187" s="3"/>
      <c r="F187" s="4"/>
      <c r="H187" s="2">
        <f>sum(G189:G204)</f>
        <v>28960019</v>
      </c>
    </row>
    <row r="188">
      <c r="B188" s="1" t="s">
        <v>159</v>
      </c>
      <c r="E188" s="3"/>
      <c r="F188" s="4"/>
    </row>
    <row r="189">
      <c r="B189" s="1" t="s">
        <v>196</v>
      </c>
      <c r="C189" s="1" t="s">
        <v>197</v>
      </c>
      <c r="D189" s="1" t="s">
        <v>32</v>
      </c>
      <c r="E189" s="1">
        <v>51.33</v>
      </c>
      <c r="F189" s="4">
        <v>213800.0</v>
      </c>
      <c r="G189" s="2">
        <f t="shared" ref="G189:G191" si="21">F189*E189</f>
        <v>10974354</v>
      </c>
    </row>
    <row r="190">
      <c r="B190" s="1" t="s">
        <v>199</v>
      </c>
      <c r="C190" s="1" t="s">
        <v>197</v>
      </c>
      <c r="D190" s="1" t="s">
        <v>32</v>
      </c>
      <c r="E190" s="1">
        <v>10.0</v>
      </c>
      <c r="F190" s="4">
        <v>248300.0</v>
      </c>
      <c r="G190" s="2">
        <f t="shared" si="21"/>
        <v>2483000</v>
      </c>
    </row>
    <row r="191">
      <c r="B191" s="1" t="s">
        <v>200</v>
      </c>
      <c r="C191" s="1" t="s">
        <v>197</v>
      </c>
      <c r="D191" s="1" t="s">
        <v>32</v>
      </c>
      <c r="E191" s="1">
        <v>4.0</v>
      </c>
      <c r="F191" s="4">
        <v>248300.0</v>
      </c>
      <c r="G191" s="2">
        <f t="shared" si="21"/>
        <v>993200</v>
      </c>
    </row>
    <row r="192">
      <c r="E192" s="3"/>
      <c r="F192" s="4"/>
    </row>
    <row r="193">
      <c r="B193" s="1" t="s">
        <v>201</v>
      </c>
      <c r="E193" s="3"/>
      <c r="F193" s="4"/>
    </row>
    <row r="194">
      <c r="B194" s="1" t="s">
        <v>202</v>
      </c>
      <c r="C194" s="1" t="s">
        <v>203</v>
      </c>
      <c r="D194" s="1" t="s">
        <v>24</v>
      </c>
      <c r="E194" s="1">
        <v>51.33</v>
      </c>
      <c r="F194" s="4">
        <v>133300.0</v>
      </c>
      <c r="G194" s="2">
        <f t="shared" ref="G194:G198" si="22">F194*E194</f>
        <v>6842289</v>
      </c>
    </row>
    <row r="195">
      <c r="B195" s="1" t="s">
        <v>204</v>
      </c>
      <c r="C195" s="1" t="s">
        <v>205</v>
      </c>
      <c r="D195" s="1" t="s">
        <v>24</v>
      </c>
      <c r="E195" s="1">
        <v>4.0</v>
      </c>
      <c r="F195" s="4">
        <v>173600.0</v>
      </c>
      <c r="G195" s="2">
        <f t="shared" si="22"/>
        <v>694400</v>
      </c>
    </row>
    <row r="196">
      <c r="B196" s="1" t="s">
        <v>206</v>
      </c>
      <c r="C196" s="1" t="s">
        <v>205</v>
      </c>
      <c r="D196" s="1" t="s">
        <v>24</v>
      </c>
      <c r="E196" s="1">
        <v>0.66</v>
      </c>
      <c r="F196" s="4">
        <v>173600.0</v>
      </c>
      <c r="G196" s="2">
        <f t="shared" si="22"/>
        <v>114576</v>
      </c>
    </row>
    <row r="197">
      <c r="B197" s="1" t="s">
        <v>207</v>
      </c>
      <c r="C197" s="1" t="s">
        <v>205</v>
      </c>
      <c r="D197" s="1" t="s">
        <v>24</v>
      </c>
      <c r="E197" s="1">
        <v>10.0</v>
      </c>
      <c r="F197" s="4">
        <v>173600.0</v>
      </c>
      <c r="G197" s="2">
        <f t="shared" si="22"/>
        <v>1736000</v>
      </c>
    </row>
    <row r="198">
      <c r="B198" s="1" t="s">
        <v>208</v>
      </c>
      <c r="C198" s="1" t="s">
        <v>205</v>
      </c>
      <c r="D198" s="1" t="s">
        <v>24</v>
      </c>
      <c r="E198" s="1">
        <v>4.0</v>
      </c>
      <c r="F198" s="4">
        <v>173600.0</v>
      </c>
      <c r="G198" s="2">
        <f t="shared" si="22"/>
        <v>694400</v>
      </c>
    </row>
    <row r="199">
      <c r="E199" s="3"/>
      <c r="F199" s="4"/>
    </row>
    <row r="200">
      <c r="B200" s="1" t="s">
        <v>209</v>
      </c>
      <c r="E200" s="3"/>
      <c r="F200" s="4"/>
    </row>
    <row r="201">
      <c r="B201" s="1" t="s">
        <v>210</v>
      </c>
      <c r="C201" s="1" t="s">
        <v>211</v>
      </c>
      <c r="D201" s="1" t="s">
        <v>24</v>
      </c>
      <c r="E201" s="3">
        <v>1.0</v>
      </c>
      <c r="F201" s="4">
        <v>327600.0</v>
      </c>
      <c r="G201" s="2">
        <f t="shared" ref="G201:G204" si="23">F201*E201</f>
        <v>327600</v>
      </c>
    </row>
    <row r="202">
      <c r="B202" s="1" t="s">
        <v>210</v>
      </c>
      <c r="C202" s="1" t="s">
        <v>212</v>
      </c>
      <c r="D202" s="1" t="s">
        <v>24</v>
      </c>
      <c r="E202" s="3">
        <v>2.0</v>
      </c>
      <c r="F202" s="4">
        <v>289700.0</v>
      </c>
      <c r="G202" s="2">
        <f t="shared" si="23"/>
        <v>579400</v>
      </c>
    </row>
    <row r="203">
      <c r="B203" s="1" t="s">
        <v>213</v>
      </c>
      <c r="C203" s="1" t="s">
        <v>214</v>
      </c>
      <c r="D203" s="1" t="s">
        <v>215</v>
      </c>
      <c r="E203" s="3">
        <v>24.0</v>
      </c>
      <c r="F203" s="4">
        <v>95400.0</v>
      </c>
      <c r="G203" s="2">
        <f t="shared" si="23"/>
        <v>2289600</v>
      </c>
    </row>
    <row r="204">
      <c r="B204" s="1" t="s">
        <v>216</v>
      </c>
      <c r="C204" s="1" t="s">
        <v>217</v>
      </c>
      <c r="D204" s="1" t="s">
        <v>11</v>
      </c>
      <c r="E204" s="3">
        <v>11.4</v>
      </c>
      <c r="F204" s="4">
        <v>108000.0</v>
      </c>
      <c r="G204" s="2">
        <f t="shared" si="23"/>
        <v>1231200</v>
      </c>
    </row>
    <row r="207">
      <c r="B207" s="22" t="s">
        <v>218</v>
      </c>
      <c r="H207" s="2">
        <f>sum(H2:H204)</f>
        <v>1172081463</v>
      </c>
    </row>
    <row r="208">
      <c r="B208" s="22" t="s">
        <v>219</v>
      </c>
      <c r="H208" s="2">
        <f>H207*0.1</f>
        <v>117208146.3</v>
      </c>
    </row>
    <row r="209">
      <c r="B209" s="22" t="s">
        <v>220</v>
      </c>
      <c r="H209" s="2">
        <f>H207+H208</f>
        <v>1289289609</v>
      </c>
    </row>
    <row r="210">
      <c r="B210" s="22" t="s">
        <v>221</v>
      </c>
      <c r="H210" s="4">
        <v>1.289E9</v>
      </c>
      <c r="J210" s="1" t="s">
        <v>224</v>
      </c>
      <c r="K210" s="23">
        <f>H210/'Ruko 3lt'!H221</f>
        <v>1.092372881</v>
      </c>
    </row>
    <row r="213">
      <c r="I213" s="1" t="s">
        <v>227</v>
      </c>
      <c r="J213" s="2">
        <f>(H210*2)+'Ruko 2lt (6M)'!H209+H210+('Ruko 2lt (6M)'!H209*8)</f>
        <v>11004000000</v>
      </c>
    </row>
    <row r="214">
      <c r="I214" s="1" t="s">
        <v>228</v>
      </c>
      <c r="J214" s="2">
        <f>H210+'Ruko 2lt (6M)'!H209+('Ruko 2lt (8M)'!H208*2)</f>
        <v>3988000000</v>
      </c>
    </row>
  </sheetData>
  <mergeCells count="4">
    <mergeCell ref="B207:G207"/>
    <mergeCell ref="B208:G208"/>
    <mergeCell ref="B209:G209"/>
    <mergeCell ref="B210:G21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5.57"/>
    <col customWidth="1" min="2" max="2" width="44.14"/>
    <col customWidth="1" min="3" max="3" width="42.14"/>
    <col customWidth="1" min="4" max="4" width="6.43"/>
    <col customWidth="1" min="5" max="5" width="16.71"/>
    <col customWidth="1" min="6" max="6" width="17.43"/>
    <col customWidth="1" min="7" max="7" width="16.86"/>
    <col customWidth="1" min="8" max="8" width="18.0"/>
    <col customWidth="1" min="9" max="9" width="20.86"/>
    <col customWidth="1" min="10" max="10" width="8.14"/>
    <col customWidth="1" min="13" max="13" width="35.29"/>
  </cols>
  <sheetData>
    <row r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229</v>
      </c>
    </row>
    <row r="2">
      <c r="A2" s="29">
        <v>1.0</v>
      </c>
      <c r="B2" s="29" t="s">
        <v>8</v>
      </c>
      <c r="C2" s="30"/>
      <c r="D2" s="30"/>
      <c r="E2" s="30"/>
      <c r="F2" s="30"/>
      <c r="G2" s="30"/>
      <c r="H2" s="31">
        <f>sum(G3:G9)</f>
        <v>21230600</v>
      </c>
      <c r="I2" s="30"/>
    </row>
    <row r="3">
      <c r="A3" s="32"/>
      <c r="B3" s="33" t="s">
        <v>9</v>
      </c>
      <c r="C3" s="33" t="s">
        <v>10</v>
      </c>
      <c r="D3" s="33" t="s">
        <v>11</v>
      </c>
      <c r="E3" s="34">
        <v>40.0</v>
      </c>
      <c r="F3" s="35">
        <v>17400.0</v>
      </c>
      <c r="G3" s="36">
        <f t="shared" ref="G3:G9" si="1">F3*E3</f>
        <v>696000</v>
      </c>
      <c r="H3" s="32"/>
      <c r="I3" s="32">
        <f t="shared" ref="I3:I9" si="2">E3*4.5</f>
        <v>180</v>
      </c>
    </row>
    <row r="4">
      <c r="A4" s="32"/>
      <c r="B4" s="33" t="s">
        <v>12</v>
      </c>
      <c r="C4" s="32"/>
      <c r="D4" s="33" t="s">
        <v>13</v>
      </c>
      <c r="E4" s="34">
        <v>30.0</v>
      </c>
      <c r="F4" s="35">
        <v>150700.0</v>
      </c>
      <c r="G4" s="36">
        <f t="shared" si="1"/>
        <v>4521000</v>
      </c>
      <c r="H4" s="32"/>
      <c r="I4" s="32">
        <f t="shared" si="2"/>
        <v>135</v>
      </c>
    </row>
    <row r="5">
      <c r="A5" s="32"/>
      <c r="B5" s="33" t="s">
        <v>14</v>
      </c>
      <c r="C5" s="32"/>
      <c r="D5" s="33" t="s">
        <v>13</v>
      </c>
      <c r="E5" s="34">
        <v>30.0</v>
      </c>
      <c r="F5" s="35">
        <v>150700.0</v>
      </c>
      <c r="G5" s="36">
        <f t="shared" si="1"/>
        <v>4521000</v>
      </c>
      <c r="H5" s="32"/>
      <c r="I5" s="32">
        <f t="shared" si="2"/>
        <v>135</v>
      </c>
    </row>
    <row r="6">
      <c r="A6" s="32"/>
      <c r="B6" s="33" t="s">
        <v>15</v>
      </c>
      <c r="C6" s="32"/>
      <c r="D6" s="33" t="s">
        <v>16</v>
      </c>
      <c r="E6" s="34">
        <v>6.0</v>
      </c>
      <c r="F6" s="35">
        <v>340900.0</v>
      </c>
      <c r="G6" s="36">
        <f t="shared" si="1"/>
        <v>2045400</v>
      </c>
      <c r="H6" s="32"/>
      <c r="I6" s="32">
        <f t="shared" si="2"/>
        <v>27</v>
      </c>
    </row>
    <row r="7">
      <c r="A7" s="32"/>
      <c r="B7" s="33" t="s">
        <v>17</v>
      </c>
      <c r="C7" s="33" t="s">
        <v>18</v>
      </c>
      <c r="D7" s="33" t="s">
        <v>16</v>
      </c>
      <c r="E7" s="34">
        <v>6.0</v>
      </c>
      <c r="F7" s="35">
        <v>712800.0</v>
      </c>
      <c r="G7" s="36">
        <f t="shared" si="1"/>
        <v>4276800</v>
      </c>
      <c r="H7" s="32"/>
      <c r="I7" s="32">
        <f t="shared" si="2"/>
        <v>27</v>
      </c>
    </row>
    <row r="8">
      <c r="A8" s="32"/>
      <c r="B8" s="33" t="s">
        <v>19</v>
      </c>
      <c r="C8" s="33" t="s">
        <v>20</v>
      </c>
      <c r="D8" s="33" t="s">
        <v>21</v>
      </c>
      <c r="E8" s="34">
        <v>96.0</v>
      </c>
      <c r="F8" s="35">
        <v>11600.0</v>
      </c>
      <c r="G8" s="36">
        <f t="shared" si="1"/>
        <v>1113600</v>
      </c>
      <c r="H8" s="32"/>
      <c r="I8" s="32">
        <f t="shared" si="2"/>
        <v>432</v>
      </c>
    </row>
    <row r="9">
      <c r="A9" s="32"/>
      <c r="B9" s="33" t="s">
        <v>22</v>
      </c>
      <c r="C9" s="33" t="s">
        <v>23</v>
      </c>
      <c r="D9" s="33" t="s">
        <v>24</v>
      </c>
      <c r="E9" s="34">
        <v>1.0</v>
      </c>
      <c r="F9" s="35">
        <v>4056800.0</v>
      </c>
      <c r="G9" s="36">
        <f t="shared" si="1"/>
        <v>4056800</v>
      </c>
      <c r="H9" s="32"/>
      <c r="I9" s="32">
        <f t="shared" si="2"/>
        <v>4.5</v>
      </c>
    </row>
    <row r="10">
      <c r="A10" s="32"/>
      <c r="B10" s="32"/>
      <c r="C10" s="32"/>
      <c r="D10" s="32"/>
      <c r="E10" s="32"/>
      <c r="F10" s="32"/>
      <c r="G10" s="32"/>
      <c r="H10" s="32"/>
      <c r="I10" s="32"/>
    </row>
    <row r="11">
      <c r="A11" s="29">
        <v>2.0</v>
      </c>
      <c r="B11" s="29" t="s">
        <v>25</v>
      </c>
      <c r="C11" s="30"/>
      <c r="D11" s="30"/>
      <c r="E11" s="30"/>
      <c r="F11" s="30"/>
      <c r="G11" s="30"/>
      <c r="H11" s="31">
        <f>sum(G12:G48)</f>
        <v>742374494</v>
      </c>
      <c r="I11" s="30"/>
    </row>
    <row r="12">
      <c r="A12" s="32"/>
      <c r="B12" s="33" t="s">
        <v>26</v>
      </c>
      <c r="C12" s="32"/>
      <c r="D12" s="32"/>
      <c r="E12" s="32"/>
      <c r="F12" s="32"/>
      <c r="G12" s="32"/>
      <c r="H12" s="32"/>
      <c r="I12" s="32"/>
    </row>
    <row r="13">
      <c r="A13" s="32"/>
      <c r="B13" s="33" t="s">
        <v>27</v>
      </c>
      <c r="C13" s="33" t="s">
        <v>28</v>
      </c>
      <c r="D13" s="33" t="s">
        <v>11</v>
      </c>
      <c r="E13" s="34">
        <v>156.0</v>
      </c>
      <c r="F13" s="35">
        <v>396000.0</v>
      </c>
      <c r="G13" s="36">
        <f>F13*E13</f>
        <v>61776000</v>
      </c>
      <c r="H13" s="32"/>
      <c r="I13" s="32">
        <f>E13*4.5</f>
        <v>702</v>
      </c>
    </row>
    <row r="14">
      <c r="A14" s="32"/>
      <c r="B14" s="32"/>
      <c r="C14" s="33" t="s">
        <v>29</v>
      </c>
      <c r="D14" s="32"/>
      <c r="E14" s="37"/>
      <c r="F14" s="38"/>
      <c r="G14" s="32"/>
      <c r="H14" s="32"/>
      <c r="I14" s="32"/>
    </row>
    <row r="15">
      <c r="A15" s="32"/>
      <c r="B15" s="32"/>
      <c r="C15" s="33" t="s">
        <v>30</v>
      </c>
      <c r="D15" s="32"/>
      <c r="E15" s="37"/>
      <c r="F15" s="38"/>
      <c r="G15" s="32"/>
      <c r="H15" s="32"/>
      <c r="I15" s="32"/>
    </row>
    <row r="16">
      <c r="A16" s="32"/>
      <c r="B16" s="33" t="s">
        <v>31</v>
      </c>
      <c r="C16" s="32"/>
      <c r="D16" s="33" t="s">
        <v>32</v>
      </c>
      <c r="E16" s="34">
        <v>13.0</v>
      </c>
      <c r="F16" s="35">
        <v>60000.0</v>
      </c>
      <c r="G16" s="36">
        <f>F16*E16</f>
        <v>780000</v>
      </c>
      <c r="H16" s="32"/>
      <c r="I16" s="32">
        <f>E16*4.5</f>
        <v>58.5</v>
      </c>
    </row>
    <row r="17">
      <c r="A17" s="32"/>
      <c r="B17" s="32"/>
      <c r="C17" s="32"/>
      <c r="D17" s="32"/>
      <c r="E17" s="32"/>
      <c r="F17" s="32"/>
      <c r="G17" s="32"/>
      <c r="H17" s="32"/>
      <c r="I17" s="32"/>
    </row>
    <row r="18">
      <c r="A18" s="32"/>
      <c r="B18" s="33" t="s">
        <v>33</v>
      </c>
      <c r="C18" s="32"/>
      <c r="D18" s="32"/>
      <c r="E18" s="32"/>
      <c r="F18" s="32"/>
      <c r="G18" s="32"/>
      <c r="H18" s="32"/>
      <c r="I18" s="32"/>
    </row>
    <row r="19">
      <c r="A19" s="32"/>
      <c r="B19" s="33" t="s">
        <v>34</v>
      </c>
      <c r="C19" s="32"/>
      <c r="D19" s="32"/>
      <c r="E19" s="32"/>
      <c r="F19" s="32"/>
      <c r="G19" s="32"/>
      <c r="H19" s="32"/>
      <c r="I19" s="32"/>
    </row>
    <row r="20">
      <c r="A20" s="32"/>
      <c r="B20" s="33" t="s">
        <v>35</v>
      </c>
      <c r="C20" s="32"/>
      <c r="D20" s="33" t="s">
        <v>36</v>
      </c>
      <c r="E20" s="34">
        <v>13.6</v>
      </c>
      <c r="F20" s="35">
        <v>93800.0</v>
      </c>
      <c r="G20" s="36">
        <f t="shared" ref="G20:G26" si="3">F20*E20</f>
        <v>1275680</v>
      </c>
      <c r="H20" s="32"/>
      <c r="I20" s="32">
        <f t="shared" ref="I20:I26" si="4">E20*4.5</f>
        <v>61.2</v>
      </c>
    </row>
    <row r="21">
      <c r="A21" s="32"/>
      <c r="B21" s="33" t="s">
        <v>37</v>
      </c>
      <c r="C21" s="33" t="s">
        <v>38</v>
      </c>
      <c r="D21" s="33" t="s">
        <v>13</v>
      </c>
      <c r="E21" s="34">
        <v>8.01</v>
      </c>
      <c r="F21" s="35">
        <v>30000.0</v>
      </c>
      <c r="G21" s="36">
        <f t="shared" si="3"/>
        <v>240300</v>
      </c>
      <c r="H21" s="32"/>
      <c r="I21" s="32">
        <f t="shared" si="4"/>
        <v>36.045</v>
      </c>
    </row>
    <row r="22">
      <c r="A22" s="32"/>
      <c r="B22" s="33" t="s">
        <v>39</v>
      </c>
      <c r="C22" s="33" t="s">
        <v>40</v>
      </c>
      <c r="D22" s="33" t="s">
        <v>36</v>
      </c>
      <c r="E22" s="34">
        <v>0.8</v>
      </c>
      <c r="F22" s="35">
        <v>549600.0</v>
      </c>
      <c r="G22" s="36">
        <f t="shared" si="3"/>
        <v>439680</v>
      </c>
      <c r="H22" s="32"/>
      <c r="I22" s="32">
        <f t="shared" si="4"/>
        <v>3.6</v>
      </c>
    </row>
    <row r="23">
      <c r="A23" s="32"/>
      <c r="B23" s="33" t="s">
        <v>41</v>
      </c>
      <c r="C23" s="33" t="s">
        <v>42</v>
      </c>
      <c r="D23" s="33" t="s">
        <v>36</v>
      </c>
      <c r="E23" s="34">
        <v>0.4</v>
      </c>
      <c r="F23" s="35">
        <v>751500.0</v>
      </c>
      <c r="G23" s="36">
        <f t="shared" si="3"/>
        <v>300600</v>
      </c>
      <c r="H23" s="32"/>
      <c r="I23" s="32">
        <f t="shared" si="4"/>
        <v>1.8</v>
      </c>
    </row>
    <row r="24">
      <c r="A24" s="32"/>
      <c r="B24" s="33" t="s">
        <v>43</v>
      </c>
      <c r="C24" s="33" t="s">
        <v>44</v>
      </c>
      <c r="D24" s="33" t="s">
        <v>13</v>
      </c>
      <c r="E24" s="34">
        <v>18.53</v>
      </c>
      <c r="F24" s="35">
        <v>114600.0</v>
      </c>
      <c r="G24" s="36">
        <f t="shared" si="3"/>
        <v>2123538</v>
      </c>
      <c r="H24" s="32"/>
      <c r="I24" s="32">
        <f t="shared" si="4"/>
        <v>83.385</v>
      </c>
    </row>
    <row r="25">
      <c r="A25" s="32"/>
      <c r="B25" s="33" t="s">
        <v>45</v>
      </c>
      <c r="C25" s="33" t="s">
        <v>46</v>
      </c>
      <c r="D25" s="33" t="s">
        <v>47</v>
      </c>
      <c r="E25" s="34">
        <v>1207.74</v>
      </c>
      <c r="F25" s="35">
        <v>13000.0</v>
      </c>
      <c r="G25" s="36">
        <f t="shared" si="3"/>
        <v>15700620</v>
      </c>
      <c r="H25" s="32"/>
      <c r="I25" s="32">
        <f t="shared" si="4"/>
        <v>5434.83</v>
      </c>
    </row>
    <row r="26">
      <c r="A26" s="32"/>
      <c r="B26" s="33" t="s">
        <v>48</v>
      </c>
      <c r="C26" s="33" t="s">
        <v>49</v>
      </c>
      <c r="D26" s="33" t="s">
        <v>36</v>
      </c>
      <c r="E26" s="34">
        <v>6.28</v>
      </c>
      <c r="F26" s="35">
        <v>1238700.0</v>
      </c>
      <c r="G26" s="36">
        <f t="shared" si="3"/>
        <v>7779036</v>
      </c>
      <c r="H26" s="32"/>
      <c r="I26" s="32">
        <f t="shared" si="4"/>
        <v>28.26</v>
      </c>
    </row>
    <row r="27">
      <c r="A27" s="32"/>
      <c r="B27" s="32"/>
      <c r="C27" s="32"/>
      <c r="D27" s="32"/>
      <c r="E27" s="32"/>
      <c r="F27" s="32"/>
      <c r="G27" s="32"/>
      <c r="H27" s="32"/>
      <c r="I27" s="32"/>
    </row>
    <row r="28">
      <c r="A28" s="32"/>
      <c r="B28" s="33" t="s">
        <v>50</v>
      </c>
      <c r="C28" s="32"/>
      <c r="D28" s="33" t="s">
        <v>36</v>
      </c>
      <c r="E28" s="34">
        <v>6.48</v>
      </c>
      <c r="F28" s="35">
        <v>96000.0</v>
      </c>
      <c r="G28" s="36">
        <f t="shared" ref="G28:G34" si="5">F28*E28</f>
        <v>622080</v>
      </c>
      <c r="H28" s="32"/>
      <c r="I28" s="32">
        <f t="shared" ref="I28:I34" si="6">E28*4.5</f>
        <v>29.16</v>
      </c>
    </row>
    <row r="29">
      <c r="A29" s="32"/>
      <c r="B29" s="33" t="s">
        <v>35</v>
      </c>
      <c r="C29" s="33" t="s">
        <v>38</v>
      </c>
      <c r="D29" s="33" t="s">
        <v>13</v>
      </c>
      <c r="E29" s="34">
        <v>10.71</v>
      </c>
      <c r="F29" s="35">
        <v>30000.0</v>
      </c>
      <c r="G29" s="36">
        <f t="shared" si="5"/>
        <v>321300</v>
      </c>
      <c r="H29" s="32"/>
      <c r="I29" s="32">
        <f t="shared" si="6"/>
        <v>48.195</v>
      </c>
    </row>
    <row r="30">
      <c r="A30" s="32"/>
      <c r="B30" s="33" t="s">
        <v>37</v>
      </c>
      <c r="C30" s="33" t="s">
        <v>40</v>
      </c>
      <c r="D30" s="33" t="s">
        <v>36</v>
      </c>
      <c r="E30" s="34">
        <v>1.0</v>
      </c>
      <c r="F30" s="35">
        <v>549600.0</v>
      </c>
      <c r="G30" s="36">
        <f t="shared" si="5"/>
        <v>549600</v>
      </c>
      <c r="H30" s="32"/>
      <c r="I30" s="32">
        <f t="shared" si="6"/>
        <v>4.5</v>
      </c>
    </row>
    <row r="31">
      <c r="A31" s="32"/>
      <c r="B31" s="33" t="s">
        <v>39</v>
      </c>
      <c r="C31" s="33" t="s">
        <v>42</v>
      </c>
      <c r="D31" s="33" t="s">
        <v>36</v>
      </c>
      <c r="E31" s="34">
        <v>0.5</v>
      </c>
      <c r="F31" s="35">
        <v>751500.0</v>
      </c>
      <c r="G31" s="36">
        <f t="shared" si="5"/>
        <v>375750</v>
      </c>
      <c r="H31" s="32"/>
      <c r="I31" s="32">
        <f t="shared" si="6"/>
        <v>2.25</v>
      </c>
    </row>
    <row r="32">
      <c r="A32" s="32"/>
      <c r="B32" s="33" t="s">
        <v>41</v>
      </c>
      <c r="C32" s="33" t="s">
        <v>44</v>
      </c>
      <c r="D32" s="33" t="s">
        <v>13</v>
      </c>
      <c r="E32" s="34">
        <v>39.89</v>
      </c>
      <c r="F32" s="35">
        <v>114600.0</v>
      </c>
      <c r="G32" s="36">
        <f t="shared" si="5"/>
        <v>4571394</v>
      </c>
      <c r="H32" s="32"/>
      <c r="I32" s="32">
        <f t="shared" si="6"/>
        <v>179.505</v>
      </c>
    </row>
    <row r="33">
      <c r="A33" s="32"/>
      <c r="B33" s="33" t="s">
        <v>43</v>
      </c>
      <c r="C33" s="33" t="s">
        <v>46</v>
      </c>
      <c r="D33" s="33" t="s">
        <v>47</v>
      </c>
      <c r="E33" s="34">
        <v>329.61</v>
      </c>
      <c r="F33" s="35">
        <v>13000.0</v>
      </c>
      <c r="G33" s="36">
        <f t="shared" si="5"/>
        <v>4284930</v>
      </c>
      <c r="H33" s="32"/>
      <c r="I33" s="32">
        <f t="shared" si="6"/>
        <v>1483.245</v>
      </c>
    </row>
    <row r="34">
      <c r="A34" s="32"/>
      <c r="B34" s="33" t="s">
        <v>51</v>
      </c>
      <c r="C34" s="33" t="s">
        <v>49</v>
      </c>
      <c r="D34" s="33" t="s">
        <v>36</v>
      </c>
      <c r="E34" s="34">
        <v>4.99</v>
      </c>
      <c r="F34" s="35">
        <v>1238700.0</v>
      </c>
      <c r="G34" s="36">
        <f t="shared" si="5"/>
        <v>6181113</v>
      </c>
      <c r="H34" s="32"/>
      <c r="I34" s="32">
        <f t="shared" si="6"/>
        <v>22.455</v>
      </c>
    </row>
    <row r="35">
      <c r="A35" s="32"/>
      <c r="B35" s="33" t="s">
        <v>52</v>
      </c>
      <c r="C35" s="32"/>
      <c r="D35" s="32"/>
      <c r="E35" s="32"/>
      <c r="F35" s="32"/>
      <c r="G35" s="32"/>
      <c r="H35" s="32"/>
      <c r="I35" s="32"/>
    </row>
    <row r="36">
      <c r="A36" s="32"/>
      <c r="B36" s="32"/>
      <c r="C36" s="32"/>
      <c r="D36" s="32"/>
      <c r="E36" s="32"/>
      <c r="F36" s="32"/>
      <c r="G36" s="32"/>
      <c r="H36" s="32"/>
      <c r="I36" s="32"/>
    </row>
    <row r="37">
      <c r="A37" s="32"/>
      <c r="B37" s="33" t="s">
        <v>230</v>
      </c>
      <c r="C37" s="32"/>
      <c r="D37" s="32"/>
      <c r="E37" s="32"/>
      <c r="F37" s="32"/>
      <c r="G37" s="32"/>
      <c r="H37" s="32"/>
      <c r="I37" s="32"/>
    </row>
    <row r="38">
      <c r="A38" s="32"/>
      <c r="B38" s="33" t="s">
        <v>231</v>
      </c>
      <c r="C38" s="33" t="s">
        <v>232</v>
      </c>
      <c r="D38" s="33" t="s">
        <v>36</v>
      </c>
      <c r="E38" s="34">
        <v>143.64</v>
      </c>
      <c r="F38" s="35">
        <v>4100000.0</v>
      </c>
      <c r="G38" s="36">
        <f>F38*E38</f>
        <v>588924000</v>
      </c>
      <c r="H38" s="32"/>
      <c r="I38" s="32"/>
    </row>
    <row r="39">
      <c r="A39" s="32"/>
      <c r="B39" s="32"/>
      <c r="C39" s="32"/>
      <c r="D39" s="32"/>
      <c r="E39" s="34"/>
      <c r="F39" s="35"/>
      <c r="G39" s="32"/>
      <c r="H39" s="32"/>
      <c r="I39" s="32"/>
    </row>
    <row r="40">
      <c r="A40" s="32"/>
      <c r="B40" s="32"/>
      <c r="C40" s="32"/>
      <c r="D40" s="32"/>
      <c r="E40" s="32"/>
      <c r="F40" s="32"/>
      <c r="G40" s="32"/>
      <c r="H40" s="32"/>
      <c r="I40" s="32"/>
    </row>
    <row r="41">
      <c r="A41" s="32"/>
      <c r="B41" s="33" t="s">
        <v>53</v>
      </c>
      <c r="C41" s="32"/>
      <c r="D41" s="32"/>
      <c r="E41" s="32"/>
      <c r="F41" s="32"/>
      <c r="G41" s="32"/>
      <c r="H41" s="32"/>
      <c r="I41" s="32"/>
    </row>
    <row r="42">
      <c r="A42" s="32"/>
      <c r="B42" s="33" t="s">
        <v>35</v>
      </c>
      <c r="C42" s="32"/>
      <c r="D42" s="33" t="s">
        <v>36</v>
      </c>
      <c r="E42" s="34">
        <v>28.29</v>
      </c>
      <c r="F42" s="35">
        <v>96000.0</v>
      </c>
      <c r="G42" s="36">
        <f t="shared" ref="G42:G48" si="7">F42*E42</f>
        <v>2715840</v>
      </c>
      <c r="H42" s="32"/>
      <c r="I42" s="32">
        <f t="shared" ref="I42:I48" si="8">E42*4.5</f>
        <v>127.305</v>
      </c>
    </row>
    <row r="43">
      <c r="A43" s="32"/>
      <c r="B43" s="33" t="s">
        <v>37</v>
      </c>
      <c r="C43" s="33" t="s">
        <v>38</v>
      </c>
      <c r="D43" s="33" t="s">
        <v>13</v>
      </c>
      <c r="E43" s="34">
        <v>101.04</v>
      </c>
      <c r="F43" s="35">
        <v>30000.0</v>
      </c>
      <c r="G43" s="36">
        <f t="shared" si="7"/>
        <v>3031200</v>
      </c>
      <c r="H43" s="32"/>
      <c r="I43" s="32">
        <f t="shared" si="8"/>
        <v>454.68</v>
      </c>
    </row>
    <row r="44">
      <c r="A44" s="32"/>
      <c r="B44" s="33" t="s">
        <v>39</v>
      </c>
      <c r="C44" s="33" t="s">
        <v>40</v>
      </c>
      <c r="D44" s="33" t="s">
        <v>36</v>
      </c>
      <c r="E44" s="34">
        <v>10.1</v>
      </c>
      <c r="F44" s="35">
        <v>549600.0</v>
      </c>
      <c r="G44" s="36">
        <f t="shared" si="7"/>
        <v>5550960</v>
      </c>
      <c r="H44" s="32"/>
      <c r="I44" s="32">
        <f t="shared" si="8"/>
        <v>45.45</v>
      </c>
    </row>
    <row r="45">
      <c r="A45" s="32"/>
      <c r="B45" s="33" t="s">
        <v>41</v>
      </c>
      <c r="C45" s="33" t="s">
        <v>42</v>
      </c>
      <c r="D45" s="33" t="s">
        <v>36</v>
      </c>
      <c r="E45" s="34">
        <v>5.05</v>
      </c>
      <c r="F45" s="35">
        <v>751500.0</v>
      </c>
      <c r="G45" s="36">
        <f t="shared" si="7"/>
        <v>3795075</v>
      </c>
      <c r="H45" s="32"/>
      <c r="I45" s="32">
        <f t="shared" si="8"/>
        <v>22.725</v>
      </c>
    </row>
    <row r="46">
      <c r="A46" s="32"/>
      <c r="B46" s="33" t="s">
        <v>43</v>
      </c>
      <c r="C46" s="33" t="s">
        <v>44</v>
      </c>
      <c r="D46" s="33" t="s">
        <v>13</v>
      </c>
      <c r="E46" s="34">
        <v>8.0</v>
      </c>
      <c r="F46" s="35">
        <v>114600.0</v>
      </c>
      <c r="G46" s="36">
        <f t="shared" si="7"/>
        <v>916800</v>
      </c>
      <c r="H46" s="32"/>
      <c r="I46" s="32">
        <f t="shared" si="8"/>
        <v>36</v>
      </c>
    </row>
    <row r="47">
      <c r="A47" s="32"/>
      <c r="B47" s="33" t="s">
        <v>51</v>
      </c>
      <c r="C47" s="33" t="s">
        <v>54</v>
      </c>
      <c r="D47" s="33" t="s">
        <v>13</v>
      </c>
      <c r="E47" s="34">
        <v>101.04</v>
      </c>
      <c r="F47" s="35">
        <v>137000.0</v>
      </c>
      <c r="G47" s="36">
        <f t="shared" si="7"/>
        <v>13842480</v>
      </c>
      <c r="H47" s="32"/>
      <c r="I47" s="32">
        <f t="shared" si="8"/>
        <v>454.68</v>
      </c>
    </row>
    <row r="48">
      <c r="A48" s="32"/>
      <c r="B48" s="33" t="s">
        <v>52</v>
      </c>
      <c r="C48" s="33" t="s">
        <v>49</v>
      </c>
      <c r="D48" s="33" t="s">
        <v>36</v>
      </c>
      <c r="E48" s="34">
        <v>13.14</v>
      </c>
      <c r="F48" s="35">
        <v>1238700.0</v>
      </c>
      <c r="G48" s="36">
        <f t="shared" si="7"/>
        <v>16276518</v>
      </c>
      <c r="H48" s="32"/>
      <c r="I48" s="32">
        <f t="shared" si="8"/>
        <v>59.13</v>
      </c>
    </row>
    <row r="49">
      <c r="A49" s="32"/>
      <c r="B49" s="32"/>
      <c r="C49" s="32"/>
      <c r="D49" s="32"/>
      <c r="E49" s="32"/>
      <c r="F49" s="35"/>
      <c r="G49" s="32"/>
      <c r="H49" s="32"/>
      <c r="I49" s="32"/>
    </row>
    <row r="50">
      <c r="A50" s="29">
        <v>3.0</v>
      </c>
      <c r="B50" s="29" t="s">
        <v>55</v>
      </c>
      <c r="C50" s="30"/>
      <c r="D50" s="30"/>
      <c r="E50" s="30"/>
      <c r="F50" s="39"/>
      <c r="G50" s="30"/>
      <c r="H50" s="31">
        <f>sum(G52:G75)</f>
        <v>106633619</v>
      </c>
      <c r="I50" s="30"/>
    </row>
    <row r="51">
      <c r="A51" s="32"/>
      <c r="B51" s="33" t="s">
        <v>56</v>
      </c>
      <c r="C51" s="32"/>
      <c r="D51" s="32"/>
      <c r="E51" s="32"/>
      <c r="F51" s="35"/>
      <c r="G51" s="32"/>
      <c r="H51" s="32"/>
      <c r="I51" s="32"/>
    </row>
    <row r="52">
      <c r="A52" s="32"/>
      <c r="B52" s="33" t="s">
        <v>43</v>
      </c>
      <c r="C52" s="33" t="s">
        <v>57</v>
      </c>
      <c r="D52" s="33" t="s">
        <v>13</v>
      </c>
      <c r="E52" s="34">
        <v>23.94</v>
      </c>
      <c r="F52" s="35">
        <v>114600.0</v>
      </c>
      <c r="G52" s="36">
        <f t="shared" ref="G52:G54" si="9">F52*E52</f>
        <v>2743524</v>
      </c>
      <c r="H52" s="32"/>
      <c r="I52" s="32"/>
    </row>
    <row r="53">
      <c r="A53" s="32"/>
      <c r="B53" s="33" t="s">
        <v>45</v>
      </c>
      <c r="C53" s="33" t="s">
        <v>58</v>
      </c>
      <c r="D53" s="33" t="s">
        <v>47</v>
      </c>
      <c r="E53" s="34">
        <v>690.46</v>
      </c>
      <c r="F53" s="35">
        <v>13000.0</v>
      </c>
      <c r="G53" s="36">
        <f t="shared" si="9"/>
        <v>8975980</v>
      </c>
      <c r="H53" s="32"/>
      <c r="I53" s="32"/>
    </row>
    <row r="54">
      <c r="A54" s="32"/>
      <c r="B54" s="33" t="s">
        <v>52</v>
      </c>
      <c r="C54" s="33" t="s">
        <v>59</v>
      </c>
      <c r="D54" s="33" t="s">
        <v>36</v>
      </c>
      <c r="E54" s="34">
        <v>2.46</v>
      </c>
      <c r="F54" s="35">
        <v>1238700.0</v>
      </c>
      <c r="G54" s="36">
        <f t="shared" si="9"/>
        <v>3047202</v>
      </c>
      <c r="H54" s="32"/>
      <c r="I54" s="32"/>
    </row>
    <row r="55">
      <c r="A55" s="32"/>
      <c r="B55" s="32"/>
      <c r="C55" s="32"/>
      <c r="D55" s="32"/>
      <c r="E55" s="37"/>
      <c r="F55" s="35"/>
      <c r="G55" s="32"/>
      <c r="H55" s="32"/>
      <c r="I55" s="32"/>
    </row>
    <row r="56">
      <c r="A56" s="32"/>
      <c r="B56" s="32"/>
      <c r="C56" s="32"/>
      <c r="D56" s="32"/>
      <c r="E56" s="34"/>
      <c r="F56" s="35"/>
      <c r="G56" s="32"/>
      <c r="H56" s="32"/>
      <c r="I56" s="32"/>
    </row>
    <row r="57">
      <c r="A57" s="32"/>
      <c r="B57" s="32"/>
      <c r="C57" s="32"/>
      <c r="D57" s="32"/>
      <c r="E57" s="34"/>
      <c r="F57" s="35"/>
      <c r="G57" s="32"/>
      <c r="H57" s="32"/>
      <c r="I57" s="32"/>
    </row>
    <row r="58">
      <c r="A58" s="32"/>
      <c r="B58" s="33" t="s">
        <v>76</v>
      </c>
      <c r="C58" s="32"/>
      <c r="D58" s="32"/>
      <c r="E58" s="34"/>
      <c r="F58" s="35"/>
      <c r="G58" s="32"/>
      <c r="H58" s="32"/>
      <c r="I58" s="32"/>
    </row>
    <row r="59">
      <c r="A59" s="32"/>
      <c r="B59" s="33" t="s">
        <v>77</v>
      </c>
      <c r="C59" s="33" t="s">
        <v>57</v>
      </c>
      <c r="D59" s="33" t="s">
        <v>13</v>
      </c>
      <c r="E59" s="34">
        <v>54.88</v>
      </c>
      <c r="F59" s="35">
        <v>114600.0</v>
      </c>
      <c r="G59" s="36">
        <f t="shared" ref="G59:G61" si="10">F59*E59</f>
        <v>6289248</v>
      </c>
      <c r="H59" s="32"/>
      <c r="I59" s="32"/>
    </row>
    <row r="60">
      <c r="A60" s="32"/>
      <c r="B60" s="33" t="s">
        <v>51</v>
      </c>
      <c r="C60" s="33" t="s">
        <v>58</v>
      </c>
      <c r="D60" s="33" t="s">
        <v>47</v>
      </c>
      <c r="E60" s="34">
        <v>1068.12</v>
      </c>
      <c r="F60" s="35">
        <v>13000.0</v>
      </c>
      <c r="G60" s="36">
        <f t="shared" si="10"/>
        <v>13885560</v>
      </c>
      <c r="H60" s="32"/>
      <c r="I60" s="32"/>
    </row>
    <row r="61">
      <c r="A61" s="32"/>
      <c r="B61" s="33" t="s">
        <v>52</v>
      </c>
      <c r="C61" s="33" t="s">
        <v>69</v>
      </c>
      <c r="D61" s="33" t="s">
        <v>36</v>
      </c>
      <c r="E61" s="34">
        <v>6.47</v>
      </c>
      <c r="F61" s="35">
        <v>1238700.0</v>
      </c>
      <c r="G61" s="36">
        <f t="shared" si="10"/>
        <v>8014389</v>
      </c>
      <c r="H61" s="32"/>
      <c r="I61" s="32"/>
    </row>
    <row r="62">
      <c r="A62" s="32"/>
      <c r="B62" s="32"/>
      <c r="C62" s="32"/>
      <c r="D62" s="32"/>
      <c r="E62" s="34"/>
      <c r="F62" s="35"/>
      <c r="G62" s="32"/>
      <c r="H62" s="32"/>
      <c r="I62" s="32"/>
    </row>
    <row r="63">
      <c r="A63" s="32"/>
      <c r="B63" s="33" t="s">
        <v>78</v>
      </c>
      <c r="C63" s="32"/>
      <c r="D63" s="32"/>
      <c r="E63" s="34"/>
      <c r="F63" s="35"/>
      <c r="G63" s="32"/>
      <c r="H63" s="32"/>
      <c r="I63" s="32"/>
    </row>
    <row r="64">
      <c r="A64" s="32"/>
      <c r="B64" s="33" t="s">
        <v>73</v>
      </c>
      <c r="C64" s="33" t="s">
        <v>74</v>
      </c>
      <c r="D64" s="33" t="s">
        <v>13</v>
      </c>
      <c r="E64" s="34">
        <v>105.04</v>
      </c>
      <c r="F64" s="35">
        <v>186000.0</v>
      </c>
      <c r="G64" s="36">
        <f t="shared" ref="G64:G67" si="11">F64*E64</f>
        <v>19537440</v>
      </c>
      <c r="H64" s="32"/>
      <c r="I64" s="32"/>
    </row>
    <row r="65">
      <c r="A65" s="32"/>
      <c r="B65" s="33" t="s">
        <v>51</v>
      </c>
      <c r="C65" s="33" t="s">
        <v>46</v>
      </c>
      <c r="D65" s="33" t="s">
        <v>47</v>
      </c>
      <c r="E65" s="34">
        <v>380.0</v>
      </c>
      <c r="F65" s="35">
        <v>13000.0</v>
      </c>
      <c r="G65" s="36">
        <f t="shared" si="11"/>
        <v>4940000</v>
      </c>
      <c r="H65" s="32"/>
      <c r="I65" s="32"/>
    </row>
    <row r="66">
      <c r="A66" s="32"/>
      <c r="B66" s="33" t="s">
        <v>51</v>
      </c>
      <c r="C66" s="33" t="s">
        <v>67</v>
      </c>
      <c r="D66" s="33" t="s">
        <v>13</v>
      </c>
      <c r="E66" s="34">
        <v>108.04</v>
      </c>
      <c r="F66" s="35">
        <v>137000.0</v>
      </c>
      <c r="G66" s="36">
        <f t="shared" si="11"/>
        <v>14801480</v>
      </c>
      <c r="H66" s="32"/>
      <c r="I66" s="32"/>
    </row>
    <row r="67">
      <c r="A67" s="32"/>
      <c r="B67" s="33" t="s">
        <v>52</v>
      </c>
      <c r="C67" s="33" t="s">
        <v>69</v>
      </c>
      <c r="D67" s="33" t="s">
        <v>36</v>
      </c>
      <c r="E67" s="34">
        <v>15.63</v>
      </c>
      <c r="F67" s="35">
        <v>1238700.0</v>
      </c>
      <c r="G67" s="36">
        <f t="shared" si="11"/>
        <v>19360881</v>
      </c>
      <c r="H67" s="32"/>
      <c r="I67" s="32"/>
    </row>
    <row r="68">
      <c r="A68" s="32"/>
      <c r="B68" s="32"/>
      <c r="C68" s="32"/>
      <c r="D68" s="32"/>
      <c r="E68" s="34"/>
      <c r="F68" s="35"/>
      <c r="G68" s="32"/>
      <c r="H68" s="32"/>
      <c r="I68" s="32"/>
    </row>
    <row r="69">
      <c r="A69" s="32"/>
      <c r="B69" s="32"/>
      <c r="C69" s="32"/>
      <c r="D69" s="32"/>
      <c r="E69" s="34"/>
      <c r="F69" s="35"/>
      <c r="G69" s="32"/>
      <c r="H69" s="32"/>
      <c r="I69" s="32"/>
    </row>
    <row r="70">
      <c r="A70" s="32"/>
      <c r="B70" s="32"/>
      <c r="C70" s="32"/>
      <c r="D70" s="32"/>
      <c r="E70" s="34"/>
      <c r="F70" s="35"/>
      <c r="G70" s="32"/>
      <c r="H70" s="32"/>
      <c r="I70" s="32"/>
    </row>
    <row r="71">
      <c r="A71" s="32"/>
      <c r="B71" s="32"/>
      <c r="C71" s="32"/>
      <c r="D71" s="32"/>
      <c r="E71" s="34"/>
      <c r="F71" s="35"/>
      <c r="G71" s="32"/>
      <c r="H71" s="32"/>
      <c r="I71" s="32"/>
    </row>
    <row r="72">
      <c r="A72" s="32"/>
      <c r="B72" s="33" t="s">
        <v>85</v>
      </c>
      <c r="C72" s="32"/>
      <c r="D72" s="32"/>
      <c r="E72" s="34"/>
      <c r="F72" s="35"/>
      <c r="G72" s="32"/>
      <c r="H72" s="32"/>
      <c r="I72" s="32"/>
    </row>
    <row r="73">
      <c r="A73" s="32"/>
      <c r="B73" s="33" t="s">
        <v>86</v>
      </c>
      <c r="C73" s="33" t="s">
        <v>57</v>
      </c>
      <c r="D73" s="33" t="s">
        <v>13</v>
      </c>
      <c r="E73" s="34">
        <v>26.42</v>
      </c>
      <c r="F73" s="35">
        <v>114600.0</v>
      </c>
      <c r="G73" s="36">
        <f t="shared" ref="G73:G75" si="12">F73*I73</f>
        <v>1513866</v>
      </c>
      <c r="H73" s="32"/>
      <c r="I73" s="32">
        <f t="shared" ref="I73:I75" si="13">E73/2</f>
        <v>13.21</v>
      </c>
    </row>
    <row r="74">
      <c r="A74" s="32"/>
      <c r="B74" s="33" t="s">
        <v>51</v>
      </c>
      <c r="C74" s="33" t="s">
        <v>58</v>
      </c>
      <c r="D74" s="33" t="s">
        <v>47</v>
      </c>
      <c r="E74" s="34">
        <v>290.61</v>
      </c>
      <c r="F74" s="35">
        <v>13000.0</v>
      </c>
      <c r="G74" s="36">
        <f t="shared" si="12"/>
        <v>1888965</v>
      </c>
      <c r="H74" s="32"/>
      <c r="I74" s="32">
        <f t="shared" si="13"/>
        <v>145.305</v>
      </c>
    </row>
    <row r="75">
      <c r="A75" s="32"/>
      <c r="B75" s="33" t="s">
        <v>52</v>
      </c>
      <c r="C75" s="33" t="s">
        <v>88</v>
      </c>
      <c r="D75" s="33" t="s">
        <v>36</v>
      </c>
      <c r="E75" s="34">
        <v>2.64</v>
      </c>
      <c r="F75" s="35">
        <v>1238700.0</v>
      </c>
      <c r="G75" s="36">
        <f t="shared" si="12"/>
        <v>1635084</v>
      </c>
      <c r="H75" s="32"/>
      <c r="I75" s="32">
        <f t="shared" si="13"/>
        <v>1.32</v>
      </c>
    </row>
    <row r="76">
      <c r="A76" s="32"/>
      <c r="B76" s="32"/>
      <c r="C76" s="32"/>
      <c r="D76" s="32"/>
      <c r="E76" s="34"/>
      <c r="F76" s="35"/>
      <c r="G76" s="32"/>
      <c r="H76" s="32"/>
      <c r="I76" s="32"/>
    </row>
    <row r="77">
      <c r="A77" s="29" t="s">
        <v>89</v>
      </c>
      <c r="B77" s="29" t="s">
        <v>90</v>
      </c>
      <c r="C77" s="30"/>
      <c r="D77" s="30"/>
      <c r="E77" s="40"/>
      <c r="F77" s="39"/>
      <c r="G77" s="30"/>
      <c r="H77" s="31">
        <f>sum(G79:G118)</f>
        <v>373512019</v>
      </c>
      <c r="I77" s="30"/>
    </row>
    <row r="78">
      <c r="A78" s="32"/>
      <c r="B78" s="33" t="s">
        <v>91</v>
      </c>
      <c r="C78" s="32"/>
      <c r="D78" s="32"/>
      <c r="E78" s="34"/>
      <c r="F78" s="35"/>
      <c r="G78" s="32"/>
      <c r="H78" s="32"/>
      <c r="I78" s="32"/>
    </row>
    <row r="79">
      <c r="A79" s="32"/>
      <c r="B79" s="33" t="s">
        <v>95</v>
      </c>
      <c r="C79" s="33" t="s">
        <v>96</v>
      </c>
      <c r="D79" s="33" t="s">
        <v>13</v>
      </c>
      <c r="E79" s="34">
        <v>460.58</v>
      </c>
      <c r="F79" s="35">
        <v>137300.0</v>
      </c>
      <c r="G79" s="36">
        <f>F79*E79</f>
        <v>63237634</v>
      </c>
      <c r="H79" s="32"/>
      <c r="I79" s="32"/>
    </row>
    <row r="80">
      <c r="A80" s="32"/>
      <c r="B80" s="33" t="s">
        <v>99</v>
      </c>
      <c r="C80" s="33" t="s">
        <v>100</v>
      </c>
      <c r="D80" s="33" t="s">
        <v>13</v>
      </c>
      <c r="E80" s="34">
        <v>921.16</v>
      </c>
      <c r="F80" s="35">
        <v>49200.0</v>
      </c>
      <c r="G80" s="36">
        <f t="shared" ref="G80:G84" si="14">F80*I80</f>
        <v>22660536</v>
      </c>
      <c r="H80" s="32"/>
      <c r="I80" s="32">
        <f t="shared" ref="I80:I84" si="15">E80/2</f>
        <v>460.58</v>
      </c>
    </row>
    <row r="81">
      <c r="A81" s="32"/>
      <c r="B81" s="33" t="s">
        <v>102</v>
      </c>
      <c r="C81" s="33" t="s">
        <v>100</v>
      </c>
      <c r="D81" s="33" t="s">
        <v>13</v>
      </c>
      <c r="E81" s="34">
        <v>921.16</v>
      </c>
      <c r="F81" s="35">
        <v>22600.0</v>
      </c>
      <c r="G81" s="36">
        <f t="shared" si="14"/>
        <v>10409108</v>
      </c>
      <c r="H81" s="32"/>
      <c r="I81" s="32">
        <f t="shared" si="15"/>
        <v>460.58</v>
      </c>
    </row>
    <row r="82">
      <c r="A82" s="32"/>
      <c r="B82" s="33" t="s">
        <v>103</v>
      </c>
      <c r="C82" s="32"/>
      <c r="D82" s="33" t="s">
        <v>13</v>
      </c>
      <c r="E82" s="34">
        <v>607.56</v>
      </c>
      <c r="F82" s="35">
        <v>21600.0</v>
      </c>
      <c r="G82" s="36">
        <f t="shared" si="14"/>
        <v>6561648</v>
      </c>
      <c r="H82" s="32"/>
      <c r="I82" s="32">
        <f t="shared" si="15"/>
        <v>303.78</v>
      </c>
    </row>
    <row r="83">
      <c r="A83" s="32"/>
      <c r="B83" s="33" t="s">
        <v>104</v>
      </c>
      <c r="C83" s="32"/>
      <c r="D83" s="33" t="s">
        <v>13</v>
      </c>
      <c r="E83" s="34">
        <v>263.46</v>
      </c>
      <c r="F83" s="35">
        <v>30000.0</v>
      </c>
      <c r="G83" s="36">
        <f t="shared" si="14"/>
        <v>3951900</v>
      </c>
      <c r="H83" s="32"/>
      <c r="I83" s="32">
        <f t="shared" si="15"/>
        <v>131.73</v>
      </c>
    </row>
    <row r="84">
      <c r="A84" s="32"/>
      <c r="B84" s="33" t="s">
        <v>105</v>
      </c>
      <c r="C84" s="32"/>
      <c r="D84" s="33" t="s">
        <v>13</v>
      </c>
      <c r="E84" s="34">
        <v>56.34</v>
      </c>
      <c r="F84" s="35">
        <v>281000.0</v>
      </c>
      <c r="G84" s="36">
        <f t="shared" si="14"/>
        <v>7915770</v>
      </c>
      <c r="H84" s="32"/>
      <c r="I84" s="32">
        <f t="shared" si="15"/>
        <v>28.17</v>
      </c>
    </row>
    <row r="85">
      <c r="A85" s="32"/>
      <c r="B85" s="33" t="s">
        <v>106</v>
      </c>
      <c r="C85" s="32"/>
      <c r="D85" s="32"/>
      <c r="E85" s="34"/>
      <c r="F85" s="35"/>
      <c r="G85" s="32"/>
      <c r="H85" s="32"/>
      <c r="I85" s="32"/>
    </row>
    <row r="86">
      <c r="A86" s="32"/>
      <c r="B86" s="32"/>
      <c r="C86" s="32"/>
      <c r="D86" s="32"/>
      <c r="E86" s="34"/>
      <c r="F86" s="35"/>
      <c r="G86" s="32"/>
      <c r="H86" s="32"/>
      <c r="I86" s="32"/>
    </row>
    <row r="87">
      <c r="A87" s="32"/>
      <c r="B87" s="33" t="s">
        <v>233</v>
      </c>
      <c r="C87" s="33" t="s">
        <v>234</v>
      </c>
      <c r="D87" s="33" t="s">
        <v>13</v>
      </c>
      <c r="E87" s="33">
        <v>135.0</v>
      </c>
      <c r="F87" s="35">
        <v>40000.0</v>
      </c>
      <c r="G87" s="36">
        <f t="shared" ref="G87:G90" si="16">F87*E87</f>
        <v>5400000</v>
      </c>
      <c r="H87" s="32"/>
      <c r="I87" s="32"/>
    </row>
    <row r="88">
      <c r="A88" s="32"/>
      <c r="B88" s="33" t="s">
        <v>235</v>
      </c>
      <c r="C88" s="33" t="s">
        <v>234</v>
      </c>
      <c r="D88" s="33" t="s">
        <v>13</v>
      </c>
      <c r="E88" s="33">
        <v>80.0</v>
      </c>
      <c r="F88" s="35">
        <v>40000.0</v>
      </c>
      <c r="G88" s="36">
        <f t="shared" si="16"/>
        <v>3200000</v>
      </c>
      <c r="H88" s="32"/>
      <c r="I88" s="32"/>
    </row>
    <row r="89">
      <c r="A89" s="32"/>
      <c r="B89" s="33" t="s">
        <v>236</v>
      </c>
      <c r="C89" s="32"/>
      <c r="D89" s="33" t="s">
        <v>13</v>
      </c>
      <c r="E89" s="33">
        <v>54.76</v>
      </c>
      <c r="F89" s="35">
        <v>400000.0</v>
      </c>
      <c r="G89" s="36">
        <f t="shared" si="16"/>
        <v>21904000</v>
      </c>
      <c r="H89" s="32"/>
      <c r="I89" s="32"/>
    </row>
    <row r="90">
      <c r="A90" s="32"/>
      <c r="B90" s="33" t="s">
        <v>237</v>
      </c>
      <c r="C90" s="33" t="s">
        <v>238</v>
      </c>
      <c r="D90" s="33" t="s">
        <v>13</v>
      </c>
      <c r="E90" s="33">
        <v>121.95</v>
      </c>
      <c r="F90" s="35">
        <v>300000.0</v>
      </c>
      <c r="G90" s="36">
        <f t="shared" si="16"/>
        <v>36585000</v>
      </c>
      <c r="H90" s="32"/>
      <c r="I90" s="32"/>
    </row>
    <row r="91">
      <c r="A91" s="32"/>
      <c r="B91" s="32"/>
      <c r="C91" s="32"/>
      <c r="D91" s="32"/>
      <c r="E91" s="34"/>
      <c r="F91" s="35"/>
      <c r="G91" s="32"/>
      <c r="H91" s="32"/>
      <c r="I91" s="32"/>
    </row>
    <row r="92">
      <c r="A92" s="32"/>
      <c r="B92" s="33" t="s">
        <v>107</v>
      </c>
      <c r="C92" s="32"/>
      <c r="D92" s="32"/>
      <c r="E92" s="34"/>
      <c r="F92" s="35"/>
      <c r="G92" s="32"/>
      <c r="H92" s="32"/>
      <c r="I92" s="32"/>
    </row>
    <row r="93">
      <c r="A93" s="32"/>
      <c r="B93" s="33" t="s">
        <v>108</v>
      </c>
      <c r="C93" s="32"/>
      <c r="D93" s="33" t="s">
        <v>13</v>
      </c>
      <c r="E93" s="34">
        <v>401.4</v>
      </c>
      <c r="F93" s="35">
        <v>46200.0</v>
      </c>
      <c r="G93" s="36">
        <f>F93*I93</f>
        <v>9272340</v>
      </c>
      <c r="H93" s="32"/>
      <c r="I93" s="32">
        <f>E93/2</f>
        <v>200.7</v>
      </c>
    </row>
    <row r="94">
      <c r="A94" s="32"/>
      <c r="B94" s="33" t="s">
        <v>109</v>
      </c>
      <c r="C94" s="33" t="s">
        <v>110</v>
      </c>
      <c r="D94" s="33" t="s">
        <v>13</v>
      </c>
      <c r="E94" s="34">
        <v>210.0</v>
      </c>
      <c r="F94" s="35">
        <v>286300.0</v>
      </c>
      <c r="G94" s="36">
        <f t="shared" ref="G94:G95" si="17">F94*E94</f>
        <v>60123000</v>
      </c>
      <c r="H94" s="32"/>
      <c r="I94" s="32"/>
    </row>
    <row r="95">
      <c r="A95" s="32"/>
      <c r="B95" s="33" t="s">
        <v>111</v>
      </c>
      <c r="C95" s="33" t="s">
        <v>110</v>
      </c>
      <c r="D95" s="33" t="s">
        <v>13</v>
      </c>
      <c r="E95" s="34">
        <v>30.0</v>
      </c>
      <c r="F95" s="35">
        <v>286300.0</v>
      </c>
      <c r="G95" s="36">
        <f t="shared" si="17"/>
        <v>8589000</v>
      </c>
      <c r="H95" s="32"/>
      <c r="I95" s="32"/>
    </row>
    <row r="96">
      <c r="A96" s="32"/>
      <c r="B96" s="33" t="s">
        <v>112</v>
      </c>
      <c r="C96" s="33" t="s">
        <v>113</v>
      </c>
      <c r="D96" s="33" t="s">
        <v>13</v>
      </c>
      <c r="E96" s="34">
        <v>33.02</v>
      </c>
      <c r="F96" s="35">
        <v>267600.0</v>
      </c>
      <c r="G96" s="36">
        <f t="shared" ref="G96:G97" si="18">F96*I96</f>
        <v>4418076</v>
      </c>
      <c r="H96" s="32"/>
      <c r="I96" s="32">
        <f t="shared" ref="I96:I97" si="19">E96/2</f>
        <v>16.51</v>
      </c>
    </row>
    <row r="97">
      <c r="A97" s="32"/>
      <c r="B97" s="33" t="s">
        <v>114</v>
      </c>
      <c r="C97" s="33" t="s">
        <v>115</v>
      </c>
      <c r="D97" s="33" t="s">
        <v>13</v>
      </c>
      <c r="E97" s="34">
        <v>104.49</v>
      </c>
      <c r="F97" s="35">
        <v>108000.0</v>
      </c>
      <c r="G97" s="36">
        <f t="shared" si="18"/>
        <v>5642460</v>
      </c>
      <c r="H97" s="32"/>
      <c r="I97" s="32">
        <f t="shared" si="19"/>
        <v>52.245</v>
      </c>
    </row>
    <row r="98">
      <c r="A98" s="32"/>
      <c r="B98" s="33" t="s">
        <v>116</v>
      </c>
      <c r="C98" s="33" t="s">
        <v>239</v>
      </c>
      <c r="D98" s="33" t="s">
        <v>13</v>
      </c>
      <c r="E98" s="34">
        <v>77.0</v>
      </c>
      <c r="F98" s="35">
        <v>540000.0</v>
      </c>
      <c r="G98" s="36">
        <f>F98*E98</f>
        <v>41580000</v>
      </c>
      <c r="H98" s="32"/>
      <c r="I98" s="32"/>
    </row>
    <row r="99">
      <c r="A99" s="32"/>
      <c r="B99" s="32"/>
      <c r="C99" s="32"/>
      <c r="D99" s="32"/>
      <c r="E99" s="34"/>
      <c r="F99" s="35"/>
      <c r="G99" s="32"/>
      <c r="H99" s="32"/>
      <c r="I99" s="32"/>
    </row>
    <row r="100">
      <c r="A100" s="32"/>
      <c r="B100" s="33" t="s">
        <v>118</v>
      </c>
      <c r="C100" s="32"/>
      <c r="D100" s="32"/>
      <c r="E100" s="34"/>
      <c r="F100" s="35"/>
      <c r="G100" s="32"/>
      <c r="H100" s="32"/>
      <c r="I100" s="32"/>
    </row>
    <row r="101">
      <c r="A101" s="32"/>
      <c r="B101" s="33" t="s">
        <v>108</v>
      </c>
      <c r="C101" s="32"/>
      <c r="D101" s="33" t="s">
        <v>13</v>
      </c>
      <c r="E101" s="34">
        <v>31.98</v>
      </c>
      <c r="F101" s="35">
        <v>46200.0</v>
      </c>
      <c r="G101" s="36">
        <f t="shared" ref="G101:G103" si="20">F101*I101</f>
        <v>738738</v>
      </c>
      <c r="H101" s="32"/>
      <c r="I101" s="32">
        <f t="shared" ref="I101:I103" si="21">E101/2</f>
        <v>15.99</v>
      </c>
    </row>
    <row r="102">
      <c r="A102" s="32"/>
      <c r="B102" s="33" t="s">
        <v>119</v>
      </c>
      <c r="C102" s="33" t="s">
        <v>120</v>
      </c>
      <c r="D102" s="33" t="s">
        <v>13</v>
      </c>
      <c r="E102" s="34">
        <v>31.98</v>
      </c>
      <c r="F102" s="35">
        <v>335000.0</v>
      </c>
      <c r="G102" s="36">
        <f t="shared" si="20"/>
        <v>5356650</v>
      </c>
      <c r="H102" s="32"/>
      <c r="I102" s="32">
        <f t="shared" si="21"/>
        <v>15.99</v>
      </c>
    </row>
    <row r="103">
      <c r="A103" s="32"/>
      <c r="B103" s="33" t="s">
        <v>121</v>
      </c>
      <c r="C103" s="32"/>
      <c r="D103" s="33" t="s">
        <v>11</v>
      </c>
      <c r="E103" s="34">
        <v>16.33</v>
      </c>
      <c r="F103" s="35">
        <v>660000.0</v>
      </c>
      <c r="G103" s="36">
        <f t="shared" si="20"/>
        <v>5388900</v>
      </c>
      <c r="H103" s="32"/>
      <c r="I103" s="32">
        <f t="shared" si="21"/>
        <v>8.165</v>
      </c>
    </row>
    <row r="104">
      <c r="A104" s="32"/>
      <c r="B104" s="32"/>
      <c r="C104" s="32"/>
      <c r="D104" s="32"/>
      <c r="E104" s="34"/>
      <c r="F104" s="35"/>
      <c r="G104" s="32"/>
      <c r="H104" s="32"/>
      <c r="I104" s="32"/>
    </row>
    <row r="105">
      <c r="A105" s="32"/>
      <c r="B105" s="33" t="s">
        <v>122</v>
      </c>
      <c r="C105" s="32"/>
      <c r="D105" s="32"/>
      <c r="E105" s="34"/>
      <c r="F105" s="35"/>
      <c r="G105" s="32"/>
      <c r="H105" s="32"/>
      <c r="I105" s="32"/>
    </row>
    <row r="106">
      <c r="A106" s="32"/>
      <c r="B106" s="33" t="s">
        <v>123</v>
      </c>
      <c r="C106" s="33" t="s">
        <v>124</v>
      </c>
      <c r="D106" s="33" t="s">
        <v>13</v>
      </c>
      <c r="E106" s="34">
        <v>360.02</v>
      </c>
      <c r="F106" s="35">
        <v>114000.0</v>
      </c>
      <c r="G106" s="36">
        <f t="shared" ref="G106:G111" si="22">F106*I106</f>
        <v>20521140</v>
      </c>
      <c r="H106" s="32"/>
      <c r="I106" s="32">
        <f t="shared" ref="I106:I111" si="23">E106/2</f>
        <v>180.01</v>
      </c>
    </row>
    <row r="107">
      <c r="A107" s="32"/>
      <c r="B107" s="33" t="s">
        <v>125</v>
      </c>
      <c r="C107" s="33" t="s">
        <v>126</v>
      </c>
      <c r="D107" s="33" t="s">
        <v>13</v>
      </c>
      <c r="E107" s="34">
        <v>53.57</v>
      </c>
      <c r="F107" s="35">
        <v>132000.0</v>
      </c>
      <c r="G107" s="36">
        <f t="shared" si="22"/>
        <v>3535620</v>
      </c>
      <c r="H107" s="32"/>
      <c r="I107" s="32">
        <f t="shared" si="23"/>
        <v>26.785</v>
      </c>
    </row>
    <row r="108">
      <c r="A108" s="32"/>
      <c r="B108" s="33" t="s">
        <v>127</v>
      </c>
      <c r="C108" s="33" t="s">
        <v>128</v>
      </c>
      <c r="D108" s="33" t="s">
        <v>13</v>
      </c>
      <c r="E108" s="34">
        <v>27.33</v>
      </c>
      <c r="F108" s="35">
        <v>24000.0</v>
      </c>
      <c r="G108" s="36">
        <f t="shared" si="22"/>
        <v>327960</v>
      </c>
      <c r="H108" s="32"/>
      <c r="I108" s="32">
        <f t="shared" si="23"/>
        <v>13.665</v>
      </c>
    </row>
    <row r="109">
      <c r="A109" s="32"/>
      <c r="B109" s="33" t="s">
        <v>129</v>
      </c>
      <c r="C109" s="32"/>
      <c r="D109" s="33" t="s">
        <v>11</v>
      </c>
      <c r="E109" s="34">
        <v>158.65</v>
      </c>
      <c r="F109" s="35">
        <v>19800.0</v>
      </c>
      <c r="G109" s="36">
        <f t="shared" si="22"/>
        <v>1570635</v>
      </c>
      <c r="H109" s="32"/>
      <c r="I109" s="32">
        <f t="shared" si="23"/>
        <v>79.325</v>
      </c>
    </row>
    <row r="110">
      <c r="A110" s="32"/>
      <c r="B110" s="33" t="s">
        <v>130</v>
      </c>
      <c r="C110" s="33" t="s">
        <v>131</v>
      </c>
      <c r="D110" s="33" t="s">
        <v>13</v>
      </c>
      <c r="E110" s="34">
        <v>10.26</v>
      </c>
      <c r="F110" s="35">
        <v>132000.0</v>
      </c>
      <c r="G110" s="36">
        <f t="shared" si="22"/>
        <v>677160</v>
      </c>
      <c r="H110" s="32"/>
      <c r="I110" s="32">
        <f t="shared" si="23"/>
        <v>5.13</v>
      </c>
    </row>
    <row r="111">
      <c r="A111" s="32"/>
      <c r="B111" s="33" t="s">
        <v>132</v>
      </c>
      <c r="C111" s="32"/>
      <c r="D111" s="33" t="s">
        <v>13</v>
      </c>
      <c r="E111" s="34">
        <v>451.18</v>
      </c>
      <c r="F111" s="35">
        <v>21600.0</v>
      </c>
      <c r="G111" s="36">
        <f t="shared" si="22"/>
        <v>4872744</v>
      </c>
      <c r="H111" s="32"/>
      <c r="I111" s="32">
        <f t="shared" si="23"/>
        <v>225.59</v>
      </c>
    </row>
    <row r="112">
      <c r="A112" s="32"/>
      <c r="B112" s="32"/>
      <c r="C112" s="32"/>
      <c r="D112" s="32"/>
      <c r="E112" s="34"/>
      <c r="F112" s="35"/>
      <c r="G112" s="32"/>
      <c r="H112" s="32"/>
      <c r="I112" s="32"/>
    </row>
    <row r="113">
      <c r="A113" s="32"/>
      <c r="B113" s="41" t="s">
        <v>133</v>
      </c>
      <c r="C113" s="32"/>
      <c r="D113" s="32"/>
      <c r="E113" s="34"/>
      <c r="F113" s="35"/>
      <c r="G113" s="32"/>
      <c r="H113" s="32"/>
      <c r="I113" s="32"/>
    </row>
    <row r="114">
      <c r="A114" s="32"/>
      <c r="B114" s="32"/>
      <c r="C114" s="32"/>
      <c r="D114" s="32"/>
      <c r="E114" s="32"/>
      <c r="F114" s="32"/>
      <c r="G114" s="32"/>
      <c r="H114" s="32"/>
      <c r="I114" s="32"/>
    </row>
    <row r="115">
      <c r="A115" s="32"/>
      <c r="B115" s="33" t="s">
        <v>152</v>
      </c>
      <c r="C115" s="32"/>
      <c r="D115" s="32"/>
      <c r="E115" s="32"/>
      <c r="F115" s="32"/>
      <c r="G115" s="32"/>
      <c r="H115" s="32"/>
      <c r="I115" s="32"/>
    </row>
    <row r="116">
      <c r="A116" s="32"/>
      <c r="B116" s="33" t="s">
        <v>153</v>
      </c>
      <c r="C116" s="33" t="s">
        <v>154</v>
      </c>
      <c r="D116" s="33" t="s">
        <v>24</v>
      </c>
      <c r="E116" s="34">
        <v>8.0</v>
      </c>
      <c r="F116" s="35">
        <v>1647100.0</v>
      </c>
      <c r="G116" s="36">
        <f t="shared" ref="G116:G118" si="24">F116*E116</f>
        <v>13176800</v>
      </c>
      <c r="H116" s="32"/>
      <c r="I116" s="32"/>
    </row>
    <row r="117">
      <c r="A117" s="32"/>
      <c r="B117" s="33" t="s">
        <v>155</v>
      </c>
      <c r="C117" s="33" t="s">
        <v>156</v>
      </c>
      <c r="D117" s="33" t="s">
        <v>24</v>
      </c>
      <c r="E117" s="34">
        <v>2.0</v>
      </c>
      <c r="F117" s="35">
        <v>1352900.0</v>
      </c>
      <c r="G117" s="36">
        <f t="shared" si="24"/>
        <v>2705800</v>
      </c>
      <c r="H117" s="32"/>
      <c r="I117" s="32"/>
    </row>
    <row r="118">
      <c r="A118" s="32"/>
      <c r="B118" s="33" t="s">
        <v>157</v>
      </c>
      <c r="C118" s="33" t="s">
        <v>154</v>
      </c>
      <c r="D118" s="33" t="s">
        <v>24</v>
      </c>
      <c r="E118" s="34">
        <v>1.0</v>
      </c>
      <c r="F118" s="35">
        <v>3189400.0</v>
      </c>
      <c r="G118" s="36">
        <f t="shared" si="24"/>
        <v>3189400</v>
      </c>
      <c r="H118" s="32"/>
      <c r="I118" s="32"/>
    </row>
    <row r="119">
      <c r="A119" s="32"/>
      <c r="B119" s="32"/>
      <c r="C119" s="32"/>
      <c r="D119" s="32"/>
      <c r="E119" s="34"/>
      <c r="F119" s="35"/>
      <c r="G119" s="32"/>
      <c r="H119" s="32"/>
      <c r="I119" s="32"/>
    </row>
    <row r="120">
      <c r="A120" s="32"/>
      <c r="B120" s="33" t="s">
        <v>158</v>
      </c>
      <c r="C120" s="32"/>
      <c r="D120" s="32"/>
      <c r="E120" s="34"/>
      <c r="F120" s="35"/>
      <c r="G120" s="32"/>
      <c r="H120" s="36">
        <f>sum(G122:G143)</f>
        <v>60504695</v>
      </c>
      <c r="I120" s="32"/>
    </row>
    <row r="121">
      <c r="A121" s="32"/>
      <c r="B121" s="33" t="s">
        <v>159</v>
      </c>
      <c r="C121" s="32"/>
      <c r="D121" s="32"/>
      <c r="E121" s="34"/>
      <c r="F121" s="35"/>
      <c r="G121" s="32"/>
      <c r="H121" s="32"/>
      <c r="I121" s="32"/>
    </row>
    <row r="122">
      <c r="A122" s="32"/>
      <c r="B122" s="33" t="s">
        <v>160</v>
      </c>
      <c r="C122" s="33" t="s">
        <v>161</v>
      </c>
      <c r="D122" s="33" t="s">
        <v>11</v>
      </c>
      <c r="E122" s="34">
        <v>44.05</v>
      </c>
      <c r="F122" s="35">
        <v>36100.0</v>
      </c>
      <c r="G122" s="36">
        <f t="shared" ref="G122:G127" si="25">F122*I122</f>
        <v>795102.5</v>
      </c>
      <c r="H122" s="32"/>
      <c r="I122" s="32">
        <f t="shared" ref="I122:I127" si="26">E122/2</f>
        <v>22.025</v>
      </c>
    </row>
    <row r="123">
      <c r="A123" s="32"/>
      <c r="B123" s="33" t="s">
        <v>162</v>
      </c>
      <c r="C123" s="33" t="s">
        <v>163</v>
      </c>
      <c r="D123" s="33" t="s">
        <v>11</v>
      </c>
      <c r="E123" s="34">
        <v>36.85</v>
      </c>
      <c r="F123" s="35">
        <v>177000.0</v>
      </c>
      <c r="G123" s="36">
        <f t="shared" si="25"/>
        <v>3261225</v>
      </c>
      <c r="H123" s="32"/>
      <c r="I123" s="32">
        <f t="shared" si="26"/>
        <v>18.425</v>
      </c>
    </row>
    <row r="124">
      <c r="A124" s="32"/>
      <c r="B124" s="33" t="s">
        <v>164</v>
      </c>
      <c r="C124" s="33" t="s">
        <v>165</v>
      </c>
      <c r="D124" s="33" t="s">
        <v>11</v>
      </c>
      <c r="E124" s="34">
        <v>22.4</v>
      </c>
      <c r="F124" s="35">
        <v>47700.0</v>
      </c>
      <c r="G124" s="36">
        <f t="shared" si="25"/>
        <v>534240</v>
      </c>
      <c r="H124" s="32"/>
      <c r="I124" s="32">
        <f t="shared" si="26"/>
        <v>11.2</v>
      </c>
    </row>
    <row r="125">
      <c r="A125" s="32"/>
      <c r="B125" s="33" t="s">
        <v>166</v>
      </c>
      <c r="C125" s="33" t="s">
        <v>167</v>
      </c>
      <c r="D125" s="33" t="s">
        <v>11</v>
      </c>
      <c r="E125" s="34">
        <v>36.85</v>
      </c>
      <c r="F125" s="35">
        <v>74300.0</v>
      </c>
      <c r="G125" s="36">
        <f t="shared" si="25"/>
        <v>1368977.5</v>
      </c>
      <c r="H125" s="32"/>
      <c r="I125" s="32">
        <f t="shared" si="26"/>
        <v>18.425</v>
      </c>
    </row>
    <row r="126">
      <c r="A126" s="32"/>
      <c r="B126" s="33" t="s">
        <v>168</v>
      </c>
      <c r="C126" s="33" t="s">
        <v>163</v>
      </c>
      <c r="D126" s="33" t="s">
        <v>11</v>
      </c>
      <c r="E126" s="34">
        <v>56.8</v>
      </c>
      <c r="F126" s="35">
        <v>177000.0</v>
      </c>
      <c r="G126" s="36">
        <f t="shared" si="25"/>
        <v>5026800</v>
      </c>
      <c r="H126" s="32"/>
      <c r="I126" s="32">
        <f t="shared" si="26"/>
        <v>28.4</v>
      </c>
    </row>
    <row r="127">
      <c r="A127" s="32"/>
      <c r="B127" s="33" t="s">
        <v>169</v>
      </c>
      <c r="C127" s="32"/>
      <c r="D127" s="33" t="s">
        <v>21</v>
      </c>
      <c r="E127" s="34">
        <v>1.0</v>
      </c>
      <c r="F127" s="35">
        <v>4597700.0</v>
      </c>
      <c r="G127" s="36">
        <f t="shared" si="25"/>
        <v>2298850</v>
      </c>
      <c r="H127" s="32"/>
      <c r="I127" s="32">
        <f t="shared" si="26"/>
        <v>0.5</v>
      </c>
    </row>
    <row r="128">
      <c r="A128" s="32"/>
      <c r="B128" s="33" t="s">
        <v>170</v>
      </c>
      <c r="C128" s="32"/>
      <c r="D128" s="33" t="s">
        <v>21</v>
      </c>
      <c r="E128" s="34">
        <v>1.0</v>
      </c>
      <c r="F128" s="35">
        <v>5172400.0</v>
      </c>
      <c r="G128" s="36">
        <f t="shared" ref="G128:G131" si="27">F128*E128</f>
        <v>5172400</v>
      </c>
      <c r="H128" s="32"/>
      <c r="I128" s="32"/>
    </row>
    <row r="129">
      <c r="A129" s="32"/>
      <c r="B129" s="33" t="s">
        <v>171</v>
      </c>
      <c r="C129" s="33" t="s">
        <v>172</v>
      </c>
      <c r="D129" s="33" t="s">
        <v>24</v>
      </c>
      <c r="E129" s="34">
        <v>6.0</v>
      </c>
      <c r="F129" s="35">
        <v>316100.0</v>
      </c>
      <c r="G129" s="36">
        <f t="shared" si="27"/>
        <v>1896600</v>
      </c>
      <c r="H129" s="32"/>
      <c r="I129" s="32"/>
    </row>
    <row r="130">
      <c r="A130" s="32"/>
      <c r="B130" s="33" t="s">
        <v>173</v>
      </c>
      <c r="C130" s="33" t="s">
        <v>172</v>
      </c>
      <c r="D130" s="33" t="s">
        <v>24</v>
      </c>
      <c r="E130" s="34">
        <v>6.0</v>
      </c>
      <c r="F130" s="35">
        <v>316100.0</v>
      </c>
      <c r="G130" s="36">
        <f t="shared" si="27"/>
        <v>1896600</v>
      </c>
      <c r="H130" s="32"/>
      <c r="I130" s="32"/>
    </row>
    <row r="131">
      <c r="A131" s="32"/>
      <c r="B131" s="33" t="s">
        <v>174</v>
      </c>
      <c r="C131" s="33" t="s">
        <v>175</v>
      </c>
      <c r="D131" s="33" t="s">
        <v>24</v>
      </c>
      <c r="E131" s="34">
        <v>7.0</v>
      </c>
      <c r="F131" s="35">
        <v>201100.0</v>
      </c>
      <c r="G131" s="36">
        <f t="shared" si="27"/>
        <v>1407700</v>
      </c>
      <c r="H131" s="32"/>
      <c r="I131" s="32"/>
    </row>
    <row r="132">
      <c r="A132" s="32"/>
      <c r="B132" s="32"/>
      <c r="C132" s="32"/>
      <c r="D132" s="32"/>
      <c r="E132" s="34"/>
      <c r="F132" s="35"/>
      <c r="G132" s="32"/>
      <c r="H132" s="32"/>
      <c r="I132" s="32"/>
    </row>
    <row r="133">
      <c r="A133" s="32"/>
      <c r="B133" s="33" t="s">
        <v>176</v>
      </c>
      <c r="C133" s="32"/>
      <c r="D133" s="32"/>
      <c r="E133" s="34"/>
      <c r="F133" s="35"/>
      <c r="G133" s="32"/>
      <c r="H133" s="32"/>
      <c r="I133" s="32"/>
    </row>
    <row r="134">
      <c r="A134" s="32"/>
      <c r="B134" s="33" t="s">
        <v>177</v>
      </c>
      <c r="C134" s="33" t="s">
        <v>178</v>
      </c>
      <c r="D134" s="33" t="s">
        <v>24</v>
      </c>
      <c r="E134" s="34">
        <v>6.0</v>
      </c>
      <c r="F134" s="35">
        <v>2592700.0</v>
      </c>
      <c r="G134" s="36">
        <f t="shared" ref="G134:G138" si="28">F134*E134</f>
        <v>15556200</v>
      </c>
      <c r="H134" s="32"/>
      <c r="I134" s="32"/>
    </row>
    <row r="135">
      <c r="A135" s="32"/>
      <c r="B135" s="33" t="s">
        <v>180</v>
      </c>
      <c r="C135" s="33" t="s">
        <v>181</v>
      </c>
      <c r="D135" s="33" t="s">
        <v>24</v>
      </c>
      <c r="E135" s="34">
        <v>6.0</v>
      </c>
      <c r="F135" s="35">
        <v>263200.0</v>
      </c>
      <c r="G135" s="36">
        <f t="shared" si="28"/>
        <v>1579200</v>
      </c>
      <c r="H135" s="32"/>
      <c r="I135" s="32"/>
    </row>
    <row r="136">
      <c r="A136" s="32"/>
      <c r="B136" s="33" t="s">
        <v>182</v>
      </c>
      <c r="C136" s="33" t="s">
        <v>183</v>
      </c>
      <c r="D136" s="33" t="s">
        <v>24</v>
      </c>
      <c r="E136" s="34">
        <v>4.0</v>
      </c>
      <c r="F136" s="35">
        <v>1424400.0</v>
      </c>
      <c r="G136" s="36">
        <f t="shared" si="28"/>
        <v>5697600</v>
      </c>
      <c r="H136" s="32"/>
      <c r="I136" s="32"/>
    </row>
    <row r="137">
      <c r="A137" s="32"/>
      <c r="B137" s="33" t="s">
        <v>184</v>
      </c>
      <c r="C137" s="33" t="s">
        <v>185</v>
      </c>
      <c r="D137" s="33" t="s">
        <v>24</v>
      </c>
      <c r="E137" s="34">
        <v>8.0</v>
      </c>
      <c r="F137" s="35">
        <v>363500.0</v>
      </c>
      <c r="G137" s="36">
        <f t="shared" si="28"/>
        <v>2908000</v>
      </c>
      <c r="H137" s="32"/>
      <c r="I137" s="32"/>
    </row>
    <row r="138">
      <c r="A138" s="32"/>
      <c r="B138" s="33" t="s">
        <v>186</v>
      </c>
      <c r="C138" s="33" t="s">
        <v>187</v>
      </c>
      <c r="D138" s="33" t="s">
        <v>24</v>
      </c>
      <c r="E138" s="34">
        <v>4.0</v>
      </c>
      <c r="F138" s="35">
        <v>276300.0</v>
      </c>
      <c r="G138" s="36">
        <f t="shared" si="28"/>
        <v>1105200</v>
      </c>
      <c r="H138" s="32"/>
      <c r="I138" s="32"/>
    </row>
    <row r="139">
      <c r="A139" s="32"/>
      <c r="B139" s="32"/>
      <c r="C139" s="32"/>
      <c r="D139" s="32"/>
      <c r="E139" s="34"/>
      <c r="F139" s="35"/>
      <c r="G139" s="32"/>
      <c r="H139" s="32"/>
      <c r="I139" s="32"/>
    </row>
    <row r="140">
      <c r="A140" s="32"/>
      <c r="B140" s="33" t="s">
        <v>188</v>
      </c>
      <c r="C140" s="32"/>
      <c r="D140" s="32"/>
      <c r="E140" s="34"/>
      <c r="F140" s="35"/>
      <c r="G140" s="32"/>
      <c r="H140" s="32"/>
      <c r="I140" s="32"/>
    </row>
    <row r="141">
      <c r="A141" s="32"/>
      <c r="B141" s="33" t="s">
        <v>189</v>
      </c>
      <c r="C141" s="33" t="s">
        <v>190</v>
      </c>
      <c r="D141" s="33" t="s">
        <v>24</v>
      </c>
      <c r="E141" s="34">
        <v>1.0</v>
      </c>
      <c r="F141" s="35">
        <v>3620700.0</v>
      </c>
      <c r="G141" s="36">
        <f t="shared" ref="G141:G143" si="29">F141*E141</f>
        <v>3620700</v>
      </c>
      <c r="H141" s="32"/>
      <c r="I141" s="32"/>
    </row>
    <row r="142">
      <c r="A142" s="32"/>
      <c r="B142" s="33" t="s">
        <v>191</v>
      </c>
      <c r="C142" s="33" t="s">
        <v>192</v>
      </c>
      <c r="D142" s="33" t="s">
        <v>24</v>
      </c>
      <c r="E142" s="34">
        <v>1.0</v>
      </c>
      <c r="F142" s="35">
        <v>2183900.0</v>
      </c>
      <c r="G142" s="36">
        <f t="shared" si="29"/>
        <v>2183900</v>
      </c>
      <c r="H142" s="32"/>
      <c r="I142" s="32"/>
    </row>
    <row r="143">
      <c r="A143" s="32"/>
      <c r="B143" s="33" t="s">
        <v>193</v>
      </c>
      <c r="C143" s="33" t="s">
        <v>194</v>
      </c>
      <c r="D143" s="33" t="s">
        <v>24</v>
      </c>
      <c r="E143" s="34">
        <v>1.0</v>
      </c>
      <c r="F143" s="35">
        <v>4195400.0</v>
      </c>
      <c r="G143" s="36">
        <f t="shared" si="29"/>
        <v>4195400</v>
      </c>
      <c r="H143" s="32"/>
      <c r="I143" s="32"/>
    </row>
    <row r="144">
      <c r="A144" s="32"/>
      <c r="B144" s="32"/>
      <c r="C144" s="32"/>
      <c r="D144" s="32"/>
      <c r="E144" s="34"/>
      <c r="F144" s="35"/>
      <c r="G144" s="32"/>
      <c r="H144" s="32"/>
      <c r="I144" s="32"/>
    </row>
    <row r="145">
      <c r="A145" s="30"/>
      <c r="B145" s="29" t="s">
        <v>195</v>
      </c>
      <c r="C145" s="30"/>
      <c r="D145" s="30"/>
      <c r="E145" s="40"/>
      <c r="F145" s="39"/>
      <c r="G145" s="30"/>
      <c r="H145" s="31">
        <f>sum(G147:G162)</f>
        <v>19349100</v>
      </c>
      <c r="I145" s="30"/>
    </row>
    <row r="146">
      <c r="A146" s="32"/>
      <c r="B146" s="33" t="s">
        <v>159</v>
      </c>
      <c r="C146" s="32"/>
      <c r="D146" s="32"/>
      <c r="E146" s="34"/>
      <c r="F146" s="35"/>
      <c r="G146" s="32"/>
      <c r="H146" s="32"/>
      <c r="I146" s="32"/>
    </row>
    <row r="147">
      <c r="A147" s="32"/>
      <c r="B147" s="33" t="s">
        <v>196</v>
      </c>
      <c r="C147" s="33" t="s">
        <v>197</v>
      </c>
      <c r="D147" s="33" t="s">
        <v>32</v>
      </c>
      <c r="E147" s="34">
        <v>77.0</v>
      </c>
      <c r="F147" s="35">
        <v>213800.0</v>
      </c>
      <c r="G147" s="36">
        <f t="shared" ref="G147:G148" si="30">F147*I147</f>
        <v>8231300</v>
      </c>
      <c r="H147" s="32"/>
      <c r="I147" s="32">
        <f t="shared" ref="I147:I148" si="31">E147/2</f>
        <v>38.5</v>
      </c>
    </row>
    <row r="148">
      <c r="A148" s="32"/>
      <c r="B148" s="33" t="s">
        <v>199</v>
      </c>
      <c r="C148" s="33" t="s">
        <v>197</v>
      </c>
      <c r="D148" s="33" t="s">
        <v>32</v>
      </c>
      <c r="E148" s="34">
        <v>15.0</v>
      </c>
      <c r="F148" s="35">
        <v>248300.0</v>
      </c>
      <c r="G148" s="36">
        <f t="shared" si="30"/>
        <v>1862250</v>
      </c>
      <c r="H148" s="32"/>
      <c r="I148" s="32">
        <f t="shared" si="31"/>
        <v>7.5</v>
      </c>
    </row>
    <row r="149">
      <c r="A149" s="32"/>
      <c r="B149" s="32"/>
      <c r="C149" s="32"/>
      <c r="D149" s="32"/>
      <c r="E149" s="34"/>
      <c r="F149" s="35"/>
      <c r="G149" s="32"/>
      <c r="H149" s="32"/>
      <c r="I149" s="32"/>
    </row>
    <row r="150">
      <c r="A150" s="32"/>
      <c r="B150" s="32"/>
      <c r="C150" s="32"/>
      <c r="D150" s="32"/>
      <c r="E150" s="34"/>
      <c r="F150" s="35"/>
      <c r="G150" s="32"/>
      <c r="H150" s="32"/>
      <c r="I150" s="32"/>
    </row>
    <row r="151">
      <c r="A151" s="32"/>
      <c r="B151" s="33" t="s">
        <v>201</v>
      </c>
      <c r="C151" s="32"/>
      <c r="D151" s="32"/>
      <c r="E151" s="34"/>
      <c r="F151" s="35"/>
      <c r="G151" s="32"/>
      <c r="H151" s="32"/>
      <c r="I151" s="32"/>
    </row>
    <row r="152">
      <c r="A152" s="32"/>
      <c r="B152" s="33" t="s">
        <v>202</v>
      </c>
      <c r="C152" s="33" t="s">
        <v>203</v>
      </c>
      <c r="D152" s="33" t="s">
        <v>24</v>
      </c>
      <c r="E152" s="34">
        <v>77.0</v>
      </c>
      <c r="F152" s="35">
        <v>133300.0</v>
      </c>
      <c r="G152" s="36">
        <f t="shared" ref="G152:G155" si="32">F152*I152</f>
        <v>5132050</v>
      </c>
      <c r="H152" s="32"/>
      <c r="I152" s="32">
        <f t="shared" ref="I152:I155" si="33">E152/2</f>
        <v>38.5</v>
      </c>
    </row>
    <row r="153">
      <c r="A153" s="32"/>
      <c r="B153" s="33" t="s">
        <v>204</v>
      </c>
      <c r="C153" s="33" t="s">
        <v>205</v>
      </c>
      <c r="D153" s="33" t="s">
        <v>24</v>
      </c>
      <c r="E153" s="34">
        <v>6.0</v>
      </c>
      <c r="F153" s="35">
        <v>173600.0</v>
      </c>
      <c r="G153" s="36">
        <f t="shared" si="32"/>
        <v>520800</v>
      </c>
      <c r="H153" s="32"/>
      <c r="I153" s="32">
        <f t="shared" si="33"/>
        <v>3</v>
      </c>
    </row>
    <row r="154">
      <c r="A154" s="32"/>
      <c r="B154" s="33" t="s">
        <v>206</v>
      </c>
      <c r="C154" s="33" t="s">
        <v>205</v>
      </c>
      <c r="D154" s="33" t="s">
        <v>24</v>
      </c>
      <c r="E154" s="34">
        <v>1.0</v>
      </c>
      <c r="F154" s="35">
        <v>173600.0</v>
      </c>
      <c r="G154" s="36">
        <f t="shared" si="32"/>
        <v>86800</v>
      </c>
      <c r="H154" s="32"/>
      <c r="I154" s="32">
        <f t="shared" si="33"/>
        <v>0.5</v>
      </c>
    </row>
    <row r="155">
      <c r="A155" s="32"/>
      <c r="B155" s="33" t="s">
        <v>207</v>
      </c>
      <c r="C155" s="33" t="s">
        <v>205</v>
      </c>
      <c r="D155" s="33" t="s">
        <v>24</v>
      </c>
      <c r="E155" s="34">
        <v>15.0</v>
      </c>
      <c r="F155" s="35">
        <v>173600.0</v>
      </c>
      <c r="G155" s="36">
        <f t="shared" si="32"/>
        <v>1302000</v>
      </c>
      <c r="H155" s="32"/>
      <c r="I155" s="32">
        <f t="shared" si="33"/>
        <v>7.5</v>
      </c>
    </row>
    <row r="156">
      <c r="A156" s="32"/>
      <c r="B156" s="32"/>
      <c r="C156" s="32"/>
      <c r="D156" s="32"/>
      <c r="E156" s="34"/>
      <c r="F156" s="35"/>
      <c r="G156" s="32"/>
      <c r="H156" s="32"/>
      <c r="I156" s="32"/>
    </row>
    <row r="157">
      <c r="A157" s="32"/>
      <c r="B157" s="32"/>
      <c r="C157" s="32"/>
      <c r="D157" s="32"/>
      <c r="E157" s="34"/>
      <c r="F157" s="35"/>
      <c r="G157" s="32"/>
      <c r="H157" s="32"/>
      <c r="I157" s="32"/>
    </row>
    <row r="158">
      <c r="A158" s="32"/>
      <c r="B158" s="33" t="s">
        <v>209</v>
      </c>
      <c r="C158" s="32"/>
      <c r="D158" s="32"/>
      <c r="E158" s="34"/>
      <c r="F158" s="35"/>
      <c r="G158" s="32"/>
      <c r="H158" s="32"/>
      <c r="I158" s="32"/>
    </row>
    <row r="159">
      <c r="A159" s="32"/>
      <c r="B159" s="33" t="s">
        <v>210</v>
      </c>
      <c r="C159" s="33" t="s">
        <v>211</v>
      </c>
      <c r="D159" s="33" t="s">
        <v>24</v>
      </c>
      <c r="E159" s="34">
        <v>1.0</v>
      </c>
      <c r="F159" s="35">
        <v>327600.0</v>
      </c>
      <c r="G159" s="36">
        <f t="shared" ref="G159:G162" si="34">F159*I159</f>
        <v>163800</v>
      </c>
      <c r="H159" s="32"/>
      <c r="I159" s="32">
        <f t="shared" ref="I159:I162" si="35">E159/2</f>
        <v>0.5</v>
      </c>
    </row>
    <row r="160">
      <c r="A160" s="32"/>
      <c r="B160" s="33" t="s">
        <v>210</v>
      </c>
      <c r="C160" s="33" t="s">
        <v>212</v>
      </c>
      <c r="D160" s="33" t="s">
        <v>24</v>
      </c>
      <c r="E160" s="34">
        <v>2.0</v>
      </c>
      <c r="F160" s="35">
        <v>289700.0</v>
      </c>
      <c r="G160" s="36">
        <f t="shared" si="34"/>
        <v>289700</v>
      </c>
      <c r="H160" s="32"/>
      <c r="I160" s="32">
        <f t="shared" si="35"/>
        <v>1</v>
      </c>
    </row>
    <row r="161">
      <c r="A161" s="32"/>
      <c r="B161" s="33" t="s">
        <v>213</v>
      </c>
      <c r="C161" s="33" t="s">
        <v>214</v>
      </c>
      <c r="D161" s="33" t="s">
        <v>215</v>
      </c>
      <c r="E161" s="34">
        <v>24.0</v>
      </c>
      <c r="F161" s="35">
        <v>95400.0</v>
      </c>
      <c r="G161" s="36">
        <f t="shared" si="34"/>
        <v>1144800</v>
      </c>
      <c r="H161" s="32"/>
      <c r="I161" s="32">
        <f t="shared" si="35"/>
        <v>12</v>
      </c>
    </row>
    <row r="162">
      <c r="A162" s="32"/>
      <c r="B162" s="33" t="s">
        <v>216</v>
      </c>
      <c r="C162" s="33" t="s">
        <v>217</v>
      </c>
      <c r="D162" s="33" t="s">
        <v>11</v>
      </c>
      <c r="E162" s="34">
        <v>11.4</v>
      </c>
      <c r="F162" s="35">
        <v>108000.0</v>
      </c>
      <c r="G162" s="36">
        <f t="shared" si="34"/>
        <v>615600</v>
      </c>
      <c r="H162" s="32"/>
      <c r="I162" s="32">
        <f t="shared" si="35"/>
        <v>5.7</v>
      </c>
    </row>
    <row r="163">
      <c r="A163" s="32"/>
      <c r="B163" s="32"/>
      <c r="C163" s="32"/>
      <c r="D163" s="32"/>
      <c r="E163" s="32"/>
      <c r="F163" s="32"/>
      <c r="G163" s="32"/>
      <c r="H163" s="32"/>
      <c r="I163" s="32"/>
    </row>
    <row r="164">
      <c r="A164" s="32"/>
      <c r="B164" s="32"/>
      <c r="C164" s="32"/>
      <c r="D164" s="32"/>
      <c r="E164" s="32"/>
      <c r="F164" s="32"/>
      <c r="G164" s="32"/>
      <c r="H164" s="32"/>
      <c r="I164" s="32"/>
    </row>
    <row r="165">
      <c r="A165" s="30"/>
      <c r="B165" s="42" t="s">
        <v>218</v>
      </c>
      <c r="C165" s="43"/>
      <c r="D165" s="43"/>
      <c r="E165" s="43"/>
      <c r="F165" s="43"/>
      <c r="G165" s="44"/>
      <c r="H165" s="31">
        <f>sum(H2:H162)</f>
        <v>1323604527</v>
      </c>
      <c r="I165" s="30"/>
    </row>
    <row r="166">
      <c r="A166" s="30"/>
      <c r="B166" s="42" t="s">
        <v>219</v>
      </c>
      <c r="C166" s="43"/>
      <c r="D166" s="43"/>
      <c r="E166" s="43"/>
      <c r="F166" s="43"/>
      <c r="G166" s="44"/>
      <c r="H166" s="31">
        <f>H165*0.1</f>
        <v>132360452.7</v>
      </c>
      <c r="I166" s="30"/>
    </row>
    <row r="167">
      <c r="A167" s="30"/>
      <c r="B167" s="42" t="s">
        <v>220</v>
      </c>
      <c r="C167" s="43"/>
      <c r="D167" s="43"/>
      <c r="E167" s="43"/>
      <c r="F167" s="43"/>
      <c r="G167" s="44"/>
      <c r="H167" s="31">
        <f>H165+H166</f>
        <v>1455964980</v>
      </c>
      <c r="I167" s="30"/>
    </row>
    <row r="168">
      <c r="A168" s="30"/>
      <c r="B168" s="42" t="s">
        <v>221</v>
      </c>
      <c r="C168" s="43"/>
      <c r="D168" s="43"/>
      <c r="E168" s="43"/>
      <c r="F168" s="43"/>
      <c r="G168" s="44"/>
      <c r="H168" s="39">
        <v>1.445E9</v>
      </c>
      <c r="I168" s="30"/>
      <c r="K168" s="23"/>
    </row>
  </sheetData>
  <mergeCells count="4">
    <mergeCell ref="B165:G165"/>
    <mergeCell ref="B166:G166"/>
    <mergeCell ref="B167:G167"/>
    <mergeCell ref="B168:G168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75"/>
  <cols>
    <col customWidth="1" min="1" max="1" width="4.0"/>
    <col customWidth="1" min="2" max="2" width="45.57"/>
    <col customWidth="1" min="3" max="3" width="51.43"/>
    <col customWidth="1" min="4" max="4" width="4.14"/>
    <col customWidth="1" min="5" max="5" width="7.86"/>
    <col customWidth="1" min="6" max="6" width="11.71"/>
    <col customWidth="1" min="7" max="7" width="12.86"/>
    <col customWidth="1" min="8" max="8" width="20.0"/>
  </cols>
  <sheetData>
    <row r="1">
      <c r="A1" s="45" t="s">
        <v>0</v>
      </c>
      <c r="B1" s="45" t="s">
        <v>1</v>
      </c>
      <c r="C1" s="45" t="s">
        <v>2</v>
      </c>
      <c r="D1" s="45" t="s">
        <v>3</v>
      </c>
      <c r="E1" s="45" t="s">
        <v>4</v>
      </c>
      <c r="F1" s="45" t="s">
        <v>5</v>
      </c>
      <c r="G1" s="45" t="s">
        <v>6</v>
      </c>
      <c r="H1" s="45" t="s">
        <v>7</v>
      </c>
    </row>
    <row r="2">
      <c r="A2" s="46" t="s">
        <v>240</v>
      </c>
      <c r="B2" s="46" t="s">
        <v>8</v>
      </c>
      <c r="C2" s="47"/>
      <c r="D2" s="47"/>
      <c r="E2" s="47"/>
      <c r="F2" s="47"/>
      <c r="G2" s="47"/>
      <c r="H2" s="31">
        <f>sum(G3:G10)</f>
        <v>8027500</v>
      </c>
    </row>
    <row r="3">
      <c r="A3" s="48">
        <v>1.0</v>
      </c>
      <c r="B3" s="48" t="s">
        <v>9</v>
      </c>
      <c r="C3" s="48" t="s">
        <v>10</v>
      </c>
      <c r="D3" s="48" t="s">
        <v>11</v>
      </c>
      <c r="E3" s="49">
        <v>36.0</v>
      </c>
      <c r="F3" s="50">
        <v>17000.0</v>
      </c>
      <c r="G3" s="36">
        <f t="shared" ref="G3:G10" si="1">F3*E3</f>
        <v>612000</v>
      </c>
      <c r="H3" s="32"/>
    </row>
    <row r="4">
      <c r="A4" s="48">
        <v>2.0</v>
      </c>
      <c r="B4" s="48" t="s">
        <v>12</v>
      </c>
      <c r="C4" s="32"/>
      <c r="D4" s="48" t="s">
        <v>21</v>
      </c>
      <c r="E4" s="49">
        <v>1.0</v>
      </c>
      <c r="F4" s="50">
        <v>906700.0</v>
      </c>
      <c r="G4" s="36">
        <f t="shared" si="1"/>
        <v>906700</v>
      </c>
      <c r="H4" s="32"/>
    </row>
    <row r="5">
      <c r="A5" s="48">
        <v>3.0</v>
      </c>
      <c r="B5" s="48" t="s">
        <v>14</v>
      </c>
      <c r="C5" s="32"/>
      <c r="D5" s="48" t="s">
        <v>21</v>
      </c>
      <c r="E5" s="49">
        <v>1.0</v>
      </c>
      <c r="F5" s="50">
        <v>906700.0</v>
      </c>
      <c r="G5" s="36">
        <f t="shared" si="1"/>
        <v>906700</v>
      </c>
      <c r="H5" s="32"/>
    </row>
    <row r="6">
      <c r="A6" s="48">
        <v>4.0</v>
      </c>
      <c r="B6" s="48" t="s">
        <v>15</v>
      </c>
      <c r="C6" s="32"/>
      <c r="D6" s="48" t="s">
        <v>16</v>
      </c>
      <c r="E6" s="49">
        <v>3.0</v>
      </c>
      <c r="F6" s="50">
        <v>333300.0</v>
      </c>
      <c r="G6" s="36">
        <f t="shared" si="1"/>
        <v>999900</v>
      </c>
      <c r="H6" s="32"/>
    </row>
    <row r="7">
      <c r="A7" s="48">
        <v>5.0</v>
      </c>
      <c r="B7" s="48" t="s">
        <v>17</v>
      </c>
      <c r="C7" s="48" t="s">
        <v>18</v>
      </c>
      <c r="D7" s="48" t="s">
        <v>16</v>
      </c>
      <c r="E7" s="49">
        <v>3.0</v>
      </c>
      <c r="F7" s="50">
        <v>697000.0</v>
      </c>
      <c r="G7" s="36">
        <f t="shared" si="1"/>
        <v>2091000</v>
      </c>
      <c r="H7" s="32"/>
    </row>
    <row r="8">
      <c r="A8" s="48">
        <v>6.0</v>
      </c>
      <c r="B8" s="48" t="s">
        <v>19</v>
      </c>
      <c r="C8" s="48" t="s">
        <v>20</v>
      </c>
      <c r="D8" s="48" t="s">
        <v>13</v>
      </c>
      <c r="E8" s="49">
        <v>60.0</v>
      </c>
      <c r="F8" s="50">
        <v>11300.0</v>
      </c>
      <c r="G8" s="36">
        <f t="shared" si="1"/>
        <v>678000</v>
      </c>
      <c r="H8" s="32"/>
    </row>
    <row r="9">
      <c r="A9" s="48">
        <v>7.0</v>
      </c>
      <c r="B9" s="48" t="s">
        <v>22</v>
      </c>
      <c r="C9" s="48" t="s">
        <v>23</v>
      </c>
      <c r="D9" s="48" t="s">
        <v>21</v>
      </c>
      <c r="E9" s="49">
        <v>1.0</v>
      </c>
      <c r="F9" s="50">
        <v>1700000.0</v>
      </c>
      <c r="G9" s="36">
        <f t="shared" si="1"/>
        <v>1700000</v>
      </c>
      <c r="H9" s="32"/>
    </row>
    <row r="10">
      <c r="A10" s="48">
        <v>8.0</v>
      </c>
      <c r="B10" s="48" t="s">
        <v>241</v>
      </c>
      <c r="C10" s="32"/>
      <c r="D10" s="48" t="s">
        <v>13</v>
      </c>
      <c r="E10" s="49">
        <v>36.0</v>
      </c>
      <c r="F10" s="50">
        <v>3700.0</v>
      </c>
      <c r="G10" s="36">
        <f t="shared" si="1"/>
        <v>133200</v>
      </c>
      <c r="H10" s="32"/>
    </row>
    <row r="11">
      <c r="A11" s="48">
        <v>9.0</v>
      </c>
      <c r="B11" s="48" t="s">
        <v>242</v>
      </c>
      <c r="C11" s="32"/>
      <c r="D11" s="48" t="s">
        <v>16</v>
      </c>
      <c r="E11" s="49">
        <v>6.0</v>
      </c>
      <c r="F11" s="50"/>
      <c r="G11" s="32"/>
      <c r="H11" s="32"/>
    </row>
    <row r="12">
      <c r="A12" s="32"/>
      <c r="B12" s="32"/>
      <c r="C12" s="32"/>
      <c r="D12" s="32"/>
      <c r="E12" s="32"/>
      <c r="F12" s="32"/>
      <c r="G12" s="32"/>
      <c r="H12" s="32"/>
    </row>
    <row r="13">
      <c r="A13" s="32"/>
      <c r="B13" s="32"/>
      <c r="C13" s="32"/>
      <c r="D13" s="32"/>
      <c r="E13" s="32"/>
      <c r="F13" s="32"/>
      <c r="G13" s="32"/>
      <c r="H13" s="32"/>
    </row>
    <row r="14">
      <c r="A14" s="32"/>
      <c r="B14" s="32"/>
      <c r="C14" s="32"/>
      <c r="D14" s="32"/>
      <c r="E14" s="32"/>
      <c r="F14" s="32"/>
      <c r="G14" s="32"/>
      <c r="H14" s="32"/>
    </row>
    <row r="15">
      <c r="A15" s="46" t="s">
        <v>243</v>
      </c>
      <c r="B15" s="46" t="s">
        <v>25</v>
      </c>
      <c r="C15" s="47"/>
      <c r="D15" s="47"/>
      <c r="E15" s="47"/>
      <c r="F15" s="47"/>
      <c r="G15" s="47"/>
      <c r="H15" s="31">
        <f>sum(G16:G24)</f>
        <v>37377600</v>
      </c>
    </row>
    <row r="16">
      <c r="A16" s="48">
        <v>1.0</v>
      </c>
      <c r="B16" s="48" t="s">
        <v>26</v>
      </c>
      <c r="C16" s="48" t="s">
        <v>244</v>
      </c>
      <c r="D16" s="48" t="s">
        <v>11</v>
      </c>
      <c r="E16" s="49">
        <v>81.0</v>
      </c>
      <c r="F16" s="50">
        <v>324500.0</v>
      </c>
      <c r="G16" s="36">
        <f>E16*F16</f>
        <v>26284500</v>
      </c>
      <c r="H16" s="32"/>
    </row>
    <row r="17">
      <c r="A17" s="32"/>
      <c r="B17" s="48" t="s">
        <v>245</v>
      </c>
      <c r="C17" s="48" t="s">
        <v>246</v>
      </c>
      <c r="D17" s="32"/>
      <c r="E17" s="32"/>
      <c r="F17" s="32"/>
      <c r="G17" s="32"/>
      <c r="H17" s="32"/>
    </row>
    <row r="18">
      <c r="A18" s="32"/>
      <c r="B18" s="32"/>
      <c r="C18" s="48" t="s">
        <v>247</v>
      </c>
      <c r="D18" s="32"/>
      <c r="E18" s="32"/>
      <c r="F18" s="32"/>
      <c r="G18" s="32"/>
      <c r="H18" s="32"/>
    </row>
    <row r="19">
      <c r="A19" s="32"/>
      <c r="B19" s="32"/>
      <c r="C19" s="32"/>
      <c r="D19" s="32"/>
      <c r="E19" s="32"/>
      <c r="F19" s="32"/>
      <c r="G19" s="32"/>
      <c r="H19" s="32"/>
    </row>
    <row r="20">
      <c r="A20" s="32"/>
      <c r="B20" s="48" t="s">
        <v>245</v>
      </c>
      <c r="C20" s="48" t="s">
        <v>248</v>
      </c>
      <c r="D20" s="48" t="s">
        <v>11</v>
      </c>
      <c r="E20" s="49">
        <v>27.0</v>
      </c>
      <c r="F20" s="50">
        <v>382500.0</v>
      </c>
      <c r="G20" s="36">
        <f>E20*F20</f>
        <v>10327500</v>
      </c>
      <c r="H20" s="32"/>
    </row>
    <row r="21">
      <c r="A21" s="32"/>
      <c r="B21" s="32"/>
      <c r="C21" s="48" t="s">
        <v>246</v>
      </c>
      <c r="D21" s="32"/>
      <c r="E21" s="32"/>
      <c r="F21" s="32"/>
      <c r="G21" s="32"/>
      <c r="H21" s="32"/>
    </row>
    <row r="22">
      <c r="A22" s="32"/>
      <c r="B22" s="32"/>
      <c r="C22" s="48" t="s">
        <v>247</v>
      </c>
      <c r="D22" s="32"/>
      <c r="E22" s="32"/>
      <c r="F22" s="32"/>
      <c r="G22" s="32"/>
      <c r="H22" s="32"/>
    </row>
    <row r="23">
      <c r="A23" s="32"/>
      <c r="B23" s="32"/>
      <c r="C23" s="32"/>
      <c r="D23" s="32"/>
      <c r="E23" s="32"/>
      <c r="F23" s="32"/>
      <c r="G23" s="32"/>
      <c r="H23" s="32"/>
    </row>
    <row r="24">
      <c r="A24" s="32"/>
      <c r="B24" s="48" t="s">
        <v>31</v>
      </c>
      <c r="C24" s="48" t="s">
        <v>249</v>
      </c>
      <c r="D24" s="48" t="s">
        <v>32</v>
      </c>
      <c r="E24" s="49">
        <v>12.0</v>
      </c>
      <c r="F24" s="50">
        <v>63800.0</v>
      </c>
      <c r="G24" s="36">
        <f>E24*F24</f>
        <v>765600</v>
      </c>
      <c r="H24" s="32"/>
    </row>
    <row r="25">
      <c r="A25" s="32"/>
      <c r="B25" s="32"/>
      <c r="C25" s="32"/>
      <c r="D25" s="32"/>
      <c r="E25" s="32"/>
      <c r="F25" s="32"/>
      <c r="G25" s="32"/>
      <c r="H25" s="32"/>
    </row>
    <row r="26">
      <c r="A26" s="46">
        <v>2.0</v>
      </c>
      <c r="B26" s="46" t="s">
        <v>33</v>
      </c>
      <c r="C26" s="47"/>
      <c r="D26" s="47"/>
      <c r="E26" s="47"/>
      <c r="F26" s="47"/>
      <c r="G26" s="47"/>
      <c r="H26" s="31">
        <f>sum(G28:G67)</f>
        <v>48860074.2</v>
      </c>
    </row>
    <row r="27">
      <c r="A27" s="48" t="s">
        <v>250</v>
      </c>
      <c r="B27" s="48" t="s">
        <v>34</v>
      </c>
      <c r="C27" s="32"/>
      <c r="D27" s="32"/>
      <c r="E27" s="32"/>
      <c r="F27" s="32"/>
      <c r="G27" s="32"/>
      <c r="H27" s="32"/>
    </row>
    <row r="28">
      <c r="A28" s="32"/>
      <c r="B28" s="48" t="s">
        <v>251</v>
      </c>
      <c r="C28" s="32"/>
      <c r="D28" s="48" t="s">
        <v>36</v>
      </c>
      <c r="E28" s="49">
        <v>5.17</v>
      </c>
      <c r="F28" s="50">
        <v>85000.0</v>
      </c>
      <c r="G28" s="36">
        <f t="shared" ref="G28:G34" si="2">E28*F28</f>
        <v>439450</v>
      </c>
      <c r="H28" s="32"/>
    </row>
    <row r="29">
      <c r="A29" s="32"/>
      <c r="B29" s="48" t="s">
        <v>37</v>
      </c>
      <c r="C29" s="48" t="s">
        <v>252</v>
      </c>
      <c r="D29" s="48" t="s">
        <v>13</v>
      </c>
      <c r="E29" s="49">
        <v>3.73</v>
      </c>
      <c r="F29" s="50">
        <v>17000.0</v>
      </c>
      <c r="G29" s="36">
        <f t="shared" si="2"/>
        <v>63410</v>
      </c>
      <c r="H29" s="32"/>
    </row>
    <row r="30">
      <c r="A30" s="32"/>
      <c r="B30" s="48" t="s">
        <v>39</v>
      </c>
      <c r="C30" s="48" t="s">
        <v>253</v>
      </c>
      <c r="D30" s="48" t="s">
        <v>36</v>
      </c>
      <c r="E30" s="49">
        <v>0.37</v>
      </c>
      <c r="F30" s="50">
        <v>519100.0</v>
      </c>
      <c r="G30" s="36">
        <f t="shared" si="2"/>
        <v>192067</v>
      </c>
      <c r="H30" s="32"/>
    </row>
    <row r="31">
      <c r="A31" s="32"/>
      <c r="B31" s="48" t="s">
        <v>41</v>
      </c>
      <c r="C31" s="48" t="s">
        <v>254</v>
      </c>
      <c r="D31" s="48" t="s">
        <v>36</v>
      </c>
      <c r="E31" s="49">
        <v>0.19</v>
      </c>
      <c r="F31" s="50">
        <v>709800.0</v>
      </c>
      <c r="G31" s="36">
        <f t="shared" si="2"/>
        <v>134862</v>
      </c>
      <c r="H31" s="32"/>
    </row>
    <row r="32">
      <c r="A32" s="32"/>
      <c r="B32" s="48" t="s">
        <v>43</v>
      </c>
      <c r="C32" s="48" t="s">
        <v>255</v>
      </c>
      <c r="D32" s="48" t="s">
        <v>13</v>
      </c>
      <c r="E32" s="49">
        <v>16.08</v>
      </c>
      <c r="F32" s="50">
        <v>108200.0</v>
      </c>
      <c r="G32" s="36">
        <f t="shared" si="2"/>
        <v>1739856</v>
      </c>
      <c r="H32" s="32"/>
    </row>
    <row r="33">
      <c r="A33" s="32"/>
      <c r="B33" s="48" t="s">
        <v>45</v>
      </c>
      <c r="C33" s="48" t="s">
        <v>256</v>
      </c>
      <c r="D33" s="48" t="s">
        <v>47</v>
      </c>
      <c r="E33" s="49">
        <v>407.99</v>
      </c>
      <c r="F33" s="50">
        <v>11700.0</v>
      </c>
      <c r="G33" s="36">
        <f t="shared" si="2"/>
        <v>4773483</v>
      </c>
      <c r="H33" s="32"/>
    </row>
    <row r="34">
      <c r="A34" s="32"/>
      <c r="B34" s="48" t="s">
        <v>48</v>
      </c>
      <c r="C34" s="48" t="s">
        <v>257</v>
      </c>
      <c r="D34" s="48" t="s">
        <v>36</v>
      </c>
      <c r="E34" s="49">
        <v>2.24</v>
      </c>
      <c r="F34" s="50">
        <v>1169900.0</v>
      </c>
      <c r="G34" s="36">
        <f t="shared" si="2"/>
        <v>2620576</v>
      </c>
      <c r="H34" s="32"/>
    </row>
    <row r="35">
      <c r="A35" s="32"/>
      <c r="B35" s="32"/>
      <c r="C35" s="32"/>
      <c r="D35" s="32"/>
      <c r="E35" s="32"/>
      <c r="F35" s="32"/>
      <c r="G35" s="32"/>
      <c r="H35" s="32"/>
    </row>
    <row r="36">
      <c r="A36" s="32"/>
      <c r="B36" s="48" t="s">
        <v>258</v>
      </c>
      <c r="C36" s="32"/>
      <c r="D36" s="32"/>
      <c r="E36" s="32"/>
      <c r="F36" s="32"/>
      <c r="G36" s="32"/>
      <c r="H36" s="32"/>
    </row>
    <row r="37">
      <c r="A37" s="32"/>
      <c r="B37" s="48" t="s">
        <v>35</v>
      </c>
      <c r="C37" s="32"/>
      <c r="D37" s="48" t="s">
        <v>36</v>
      </c>
      <c r="E37" s="49">
        <v>12.35</v>
      </c>
      <c r="F37" s="50">
        <v>85000.0</v>
      </c>
      <c r="G37" s="36">
        <f t="shared" ref="G37:G44" si="3">E37*F37</f>
        <v>1049750</v>
      </c>
      <c r="H37" s="32"/>
    </row>
    <row r="38">
      <c r="A38" s="32"/>
      <c r="B38" s="48" t="s">
        <v>37</v>
      </c>
      <c r="C38" s="48" t="s">
        <v>252</v>
      </c>
      <c r="D38" s="48" t="s">
        <v>13</v>
      </c>
      <c r="E38" s="49">
        <v>10.19</v>
      </c>
      <c r="F38" s="50">
        <v>17000.0</v>
      </c>
      <c r="G38" s="36">
        <f t="shared" si="3"/>
        <v>173230</v>
      </c>
      <c r="H38" s="32"/>
    </row>
    <row r="39">
      <c r="A39" s="32"/>
      <c r="B39" s="48" t="s">
        <v>39</v>
      </c>
      <c r="C39" s="48" t="s">
        <v>253</v>
      </c>
      <c r="D39" s="48" t="s">
        <v>36</v>
      </c>
      <c r="E39" s="49">
        <v>1.02</v>
      </c>
      <c r="F39" s="50">
        <v>519100.0</v>
      </c>
      <c r="G39" s="36">
        <f t="shared" si="3"/>
        <v>529482</v>
      </c>
      <c r="H39" s="32"/>
    </row>
    <row r="40">
      <c r="A40" s="32"/>
      <c r="B40" s="48" t="s">
        <v>41</v>
      </c>
      <c r="C40" s="48" t="s">
        <v>254</v>
      </c>
      <c r="D40" s="48" t="s">
        <v>36</v>
      </c>
      <c r="E40" s="49">
        <v>0.51</v>
      </c>
      <c r="F40" s="50">
        <v>709800.0</v>
      </c>
      <c r="G40" s="36">
        <f t="shared" si="3"/>
        <v>361998</v>
      </c>
      <c r="H40" s="32"/>
    </row>
    <row r="41">
      <c r="A41" s="32"/>
      <c r="B41" s="48" t="s">
        <v>43</v>
      </c>
      <c r="C41" s="48" t="s">
        <v>255</v>
      </c>
      <c r="D41" s="48" t="s">
        <v>13</v>
      </c>
      <c r="E41" s="49">
        <v>40.76</v>
      </c>
      <c r="F41" s="50">
        <v>102600.0</v>
      </c>
      <c r="G41" s="36">
        <f t="shared" si="3"/>
        <v>4181976</v>
      </c>
      <c r="H41" s="32"/>
    </row>
    <row r="42">
      <c r="A42" s="32"/>
      <c r="B42" s="48" t="s">
        <v>45</v>
      </c>
      <c r="C42" s="48" t="s">
        <v>259</v>
      </c>
      <c r="D42" s="48" t="s">
        <v>47</v>
      </c>
      <c r="E42" s="49">
        <v>415.39</v>
      </c>
      <c r="F42" s="50">
        <v>11700.0</v>
      </c>
      <c r="G42" s="36">
        <f t="shared" si="3"/>
        <v>4860063</v>
      </c>
      <c r="H42" s="32"/>
    </row>
    <row r="43">
      <c r="A43" s="32"/>
      <c r="B43" s="48" t="s">
        <v>48</v>
      </c>
      <c r="C43" s="48" t="s">
        <v>257</v>
      </c>
      <c r="D43" s="48" t="s">
        <v>36</v>
      </c>
      <c r="E43" s="49">
        <v>3.06</v>
      </c>
      <c r="F43" s="50">
        <v>1169900.0</v>
      </c>
      <c r="G43" s="36">
        <f t="shared" si="3"/>
        <v>3579894</v>
      </c>
      <c r="H43" s="32"/>
    </row>
    <row r="44">
      <c r="A44" s="32"/>
      <c r="B44" s="48" t="s">
        <v>260</v>
      </c>
      <c r="C44" s="48" t="s">
        <v>261</v>
      </c>
      <c r="D44" s="48" t="s">
        <v>11</v>
      </c>
      <c r="E44" s="49">
        <v>11.78</v>
      </c>
      <c r="F44" s="50">
        <v>113300.0</v>
      </c>
      <c r="G44" s="36">
        <f t="shared" si="3"/>
        <v>1334674</v>
      </c>
      <c r="H44" s="32"/>
    </row>
    <row r="45">
      <c r="A45" s="32"/>
      <c r="B45" s="48"/>
      <c r="C45" s="32"/>
      <c r="D45" s="32"/>
      <c r="E45" s="32"/>
      <c r="F45" s="32"/>
      <c r="G45" s="32"/>
      <c r="H45" s="32"/>
    </row>
    <row r="46">
      <c r="A46" s="32"/>
      <c r="B46" s="48" t="s">
        <v>53</v>
      </c>
      <c r="C46" s="32"/>
      <c r="D46" s="32"/>
      <c r="E46" s="32"/>
      <c r="F46" s="32"/>
      <c r="G46" s="32"/>
      <c r="H46" s="32"/>
    </row>
    <row r="47">
      <c r="A47" s="32"/>
      <c r="B47" s="48" t="s">
        <v>251</v>
      </c>
      <c r="C47" s="32"/>
      <c r="D47" s="48" t="s">
        <v>36</v>
      </c>
      <c r="E47" s="48">
        <v>11.36</v>
      </c>
      <c r="F47" s="50">
        <v>85000.0</v>
      </c>
      <c r="G47" s="36">
        <f t="shared" ref="G47:G53" si="4">E47*F47</f>
        <v>965600</v>
      </c>
      <c r="H47" s="32"/>
    </row>
    <row r="48">
      <c r="A48" s="32"/>
      <c r="B48" s="48" t="s">
        <v>37</v>
      </c>
      <c r="C48" s="48" t="s">
        <v>252</v>
      </c>
      <c r="D48" s="48" t="s">
        <v>13</v>
      </c>
      <c r="E48" s="48">
        <v>41.58</v>
      </c>
      <c r="F48" s="50">
        <v>17000.0</v>
      </c>
      <c r="G48" s="36">
        <f t="shared" si="4"/>
        <v>706860</v>
      </c>
      <c r="H48" s="32"/>
    </row>
    <row r="49">
      <c r="A49" s="32"/>
      <c r="B49" s="48" t="s">
        <v>39</v>
      </c>
      <c r="C49" s="48" t="s">
        <v>253</v>
      </c>
      <c r="D49" s="48" t="s">
        <v>36</v>
      </c>
      <c r="E49" s="48">
        <v>4.164</v>
      </c>
      <c r="F49" s="50">
        <v>519100.0</v>
      </c>
      <c r="G49" s="36">
        <f t="shared" si="4"/>
        <v>2161532.4</v>
      </c>
      <c r="H49" s="32"/>
    </row>
    <row r="50">
      <c r="A50" s="32"/>
      <c r="B50" s="48" t="s">
        <v>41</v>
      </c>
      <c r="C50" s="48" t="s">
        <v>254</v>
      </c>
      <c r="D50" s="48" t="s">
        <v>36</v>
      </c>
      <c r="E50" s="48">
        <v>2.076</v>
      </c>
      <c r="F50" s="50">
        <v>709800.0</v>
      </c>
      <c r="G50" s="36">
        <f t="shared" si="4"/>
        <v>1473544.8</v>
      </c>
      <c r="H50" s="32"/>
    </row>
    <row r="51">
      <c r="A51" s="32"/>
      <c r="B51" s="48" t="s">
        <v>43</v>
      </c>
      <c r="C51" s="48" t="s">
        <v>262</v>
      </c>
      <c r="D51" s="48" t="s">
        <v>13</v>
      </c>
      <c r="E51" s="48">
        <v>5.67</v>
      </c>
      <c r="F51" s="50">
        <v>102600.0</v>
      </c>
      <c r="G51" s="36">
        <f t="shared" si="4"/>
        <v>581742</v>
      </c>
      <c r="H51" s="32"/>
    </row>
    <row r="52">
      <c r="A52" s="32"/>
      <c r="B52" s="48" t="s">
        <v>45</v>
      </c>
      <c r="C52" s="48" t="s">
        <v>263</v>
      </c>
      <c r="D52" s="48" t="s">
        <v>13</v>
      </c>
      <c r="E52" s="48">
        <v>41.58</v>
      </c>
      <c r="F52" s="50">
        <v>77400.0</v>
      </c>
      <c r="G52" s="36">
        <f t="shared" si="4"/>
        <v>3218292</v>
      </c>
      <c r="H52" s="32"/>
    </row>
    <row r="53">
      <c r="A53" s="32"/>
      <c r="B53" s="48" t="s">
        <v>48</v>
      </c>
      <c r="C53" s="48" t="s">
        <v>257</v>
      </c>
      <c r="D53" s="48" t="s">
        <v>36</v>
      </c>
      <c r="E53" s="48">
        <v>3.32</v>
      </c>
      <c r="F53" s="50">
        <v>1169900.0</v>
      </c>
      <c r="G53" s="36">
        <f t="shared" si="4"/>
        <v>3884068</v>
      </c>
      <c r="H53" s="32"/>
    </row>
    <row r="54">
      <c r="A54" s="32"/>
      <c r="B54" s="32"/>
      <c r="C54" s="32"/>
      <c r="D54" s="32"/>
      <c r="E54" s="32"/>
      <c r="F54" s="32"/>
      <c r="G54" s="32"/>
      <c r="H54" s="32"/>
    </row>
    <row r="55">
      <c r="A55" s="32"/>
      <c r="B55" s="48" t="s">
        <v>264</v>
      </c>
      <c r="C55" s="32"/>
      <c r="D55" s="32"/>
      <c r="E55" s="32"/>
      <c r="F55" s="32"/>
      <c r="G55" s="32"/>
      <c r="H55" s="32"/>
    </row>
    <row r="56">
      <c r="A56" s="32"/>
      <c r="B56" s="48" t="s">
        <v>251</v>
      </c>
      <c r="C56" s="32"/>
      <c r="D56" s="48" t="s">
        <v>36</v>
      </c>
      <c r="E56" s="49">
        <v>2.17</v>
      </c>
      <c r="F56" s="50">
        <v>85000.0</v>
      </c>
      <c r="G56" s="36">
        <f t="shared" ref="G56:G62" si="5">E56*F56</f>
        <v>184450</v>
      </c>
      <c r="H56" s="32"/>
    </row>
    <row r="57">
      <c r="A57" s="32"/>
      <c r="B57" s="48" t="s">
        <v>37</v>
      </c>
      <c r="C57" s="48" t="s">
        <v>252</v>
      </c>
      <c r="D57" s="48" t="s">
        <v>13</v>
      </c>
      <c r="E57" s="49">
        <v>14.48</v>
      </c>
      <c r="F57" s="50">
        <v>17000.0</v>
      </c>
      <c r="G57" s="36">
        <f t="shared" si="5"/>
        <v>246160</v>
      </c>
      <c r="H57" s="32"/>
    </row>
    <row r="58">
      <c r="A58" s="32"/>
      <c r="B58" s="48" t="s">
        <v>39</v>
      </c>
      <c r="C58" s="48" t="s">
        <v>253</v>
      </c>
      <c r="D58" s="48" t="s">
        <v>36</v>
      </c>
      <c r="E58" s="49">
        <v>1.45</v>
      </c>
      <c r="F58" s="50">
        <v>519100.0</v>
      </c>
      <c r="G58" s="36">
        <f t="shared" si="5"/>
        <v>752695</v>
      </c>
      <c r="H58" s="32"/>
    </row>
    <row r="59">
      <c r="A59" s="32"/>
      <c r="B59" s="48" t="s">
        <v>41</v>
      </c>
      <c r="C59" s="48" t="s">
        <v>254</v>
      </c>
      <c r="D59" s="48" t="s">
        <v>36</v>
      </c>
      <c r="E59" s="49">
        <v>0.72</v>
      </c>
      <c r="F59" s="50">
        <v>709800.0</v>
      </c>
      <c r="G59" s="36">
        <f t="shared" si="5"/>
        <v>511056</v>
      </c>
      <c r="H59" s="32"/>
    </row>
    <row r="60">
      <c r="A60" s="32"/>
      <c r="B60" s="48" t="s">
        <v>43</v>
      </c>
      <c r="C60" s="48" t="s">
        <v>262</v>
      </c>
      <c r="D60" s="48" t="s">
        <v>13</v>
      </c>
      <c r="E60" s="49">
        <v>1.25</v>
      </c>
      <c r="F60" s="50">
        <v>102600.0</v>
      </c>
      <c r="G60" s="36">
        <f t="shared" si="5"/>
        <v>128250</v>
      </c>
      <c r="H60" s="32"/>
    </row>
    <row r="61">
      <c r="A61" s="32"/>
      <c r="B61" s="48" t="s">
        <v>45</v>
      </c>
      <c r="C61" s="48" t="s">
        <v>263</v>
      </c>
      <c r="D61" s="48" t="s">
        <v>13</v>
      </c>
      <c r="E61" s="49">
        <v>14.48</v>
      </c>
      <c r="F61" s="50">
        <v>77400.0</v>
      </c>
      <c r="G61" s="36">
        <f t="shared" si="5"/>
        <v>1120752</v>
      </c>
      <c r="H61" s="32"/>
    </row>
    <row r="62">
      <c r="A62" s="32"/>
      <c r="B62" s="48" t="s">
        <v>48</v>
      </c>
      <c r="C62" s="48" t="s">
        <v>257</v>
      </c>
      <c r="D62" s="48" t="s">
        <v>36</v>
      </c>
      <c r="E62" s="49">
        <v>1.16</v>
      </c>
      <c r="F62" s="50">
        <v>1169900.0</v>
      </c>
      <c r="G62" s="36">
        <f t="shared" si="5"/>
        <v>1357084</v>
      </c>
      <c r="H62" s="32"/>
    </row>
    <row r="63">
      <c r="A63" s="32"/>
      <c r="B63" s="32"/>
      <c r="C63" s="32"/>
      <c r="D63" s="32"/>
      <c r="E63" s="32"/>
      <c r="F63" s="32"/>
      <c r="G63" s="32"/>
      <c r="H63" s="32"/>
    </row>
    <row r="64">
      <c r="A64" s="32"/>
      <c r="B64" s="48" t="s">
        <v>265</v>
      </c>
      <c r="C64" s="32"/>
      <c r="D64" s="32"/>
      <c r="E64" s="32"/>
      <c r="F64" s="32"/>
      <c r="G64" s="32"/>
      <c r="H64" s="32"/>
    </row>
    <row r="65">
      <c r="A65" s="32"/>
      <c r="B65" s="48" t="s">
        <v>43</v>
      </c>
      <c r="C65" s="48" t="s">
        <v>266</v>
      </c>
      <c r="D65" s="48" t="s">
        <v>13</v>
      </c>
      <c r="E65" s="49">
        <v>13.27</v>
      </c>
      <c r="F65" s="50">
        <v>102600.0</v>
      </c>
      <c r="G65" s="36">
        <f t="shared" ref="G65:G67" si="6">E65*F65</f>
        <v>1361502</v>
      </c>
      <c r="H65" s="32"/>
    </row>
    <row r="66">
      <c r="A66" s="32"/>
      <c r="B66" s="48" t="s">
        <v>45</v>
      </c>
      <c r="C66" s="48" t="s">
        <v>267</v>
      </c>
      <c r="D66" s="48" t="s">
        <v>13</v>
      </c>
      <c r="E66" s="49">
        <v>26.54</v>
      </c>
      <c r="F66" s="50">
        <v>77400.0</v>
      </c>
      <c r="G66" s="36">
        <f t="shared" si="6"/>
        <v>2054196</v>
      </c>
      <c r="H66" s="32"/>
    </row>
    <row r="67">
      <c r="A67" s="32"/>
      <c r="B67" s="48" t="s">
        <v>48</v>
      </c>
      <c r="C67" s="48" t="s">
        <v>257</v>
      </c>
      <c r="D67" s="48" t="s">
        <v>36</v>
      </c>
      <c r="E67" s="49">
        <v>1.81</v>
      </c>
      <c r="F67" s="50">
        <v>1169900.0</v>
      </c>
      <c r="G67" s="36">
        <f t="shared" si="6"/>
        <v>2117519</v>
      </c>
      <c r="H67" s="32"/>
    </row>
    <row r="68">
      <c r="A68" s="32"/>
      <c r="B68" s="32"/>
      <c r="C68" s="32"/>
      <c r="D68" s="32"/>
      <c r="E68" s="32"/>
      <c r="F68" s="50"/>
      <c r="G68" s="32"/>
      <c r="H68" s="32"/>
    </row>
    <row r="69">
      <c r="A69" s="32"/>
      <c r="B69" s="32"/>
      <c r="C69" s="32"/>
      <c r="D69" s="32"/>
      <c r="E69" s="32"/>
      <c r="F69" s="32"/>
      <c r="G69" s="32"/>
      <c r="H69" s="32"/>
    </row>
    <row r="70">
      <c r="A70" s="46">
        <v>3.0</v>
      </c>
      <c r="B70" s="46" t="s">
        <v>55</v>
      </c>
      <c r="C70" s="47"/>
      <c r="D70" s="47"/>
      <c r="E70" s="47"/>
      <c r="F70" s="47"/>
      <c r="G70" s="47"/>
      <c r="H70" s="31">
        <f>sum(G72:G99)</f>
        <v>110192889</v>
      </c>
    </row>
    <row r="71">
      <c r="A71" s="32"/>
      <c r="B71" s="48" t="s">
        <v>56</v>
      </c>
      <c r="C71" s="32"/>
      <c r="D71" s="32"/>
      <c r="E71" s="32"/>
      <c r="F71" s="32"/>
      <c r="G71" s="32"/>
      <c r="H71" s="32"/>
    </row>
    <row r="72">
      <c r="A72" s="32"/>
      <c r="B72" s="48" t="s">
        <v>43</v>
      </c>
      <c r="C72" s="48" t="s">
        <v>266</v>
      </c>
      <c r="D72" s="48" t="s">
        <v>13</v>
      </c>
      <c r="E72" s="48">
        <v>32.19</v>
      </c>
      <c r="F72" s="50">
        <v>102600.0</v>
      </c>
      <c r="G72" s="36">
        <f t="shared" ref="G72:G74" si="7">E72*F72</f>
        <v>3302694</v>
      </c>
      <c r="H72" s="32"/>
    </row>
    <row r="73">
      <c r="A73" s="32"/>
      <c r="B73" s="48" t="s">
        <v>45</v>
      </c>
      <c r="C73" s="48" t="s">
        <v>256</v>
      </c>
      <c r="D73" s="48" t="s">
        <v>47</v>
      </c>
      <c r="E73" s="48">
        <v>448.77</v>
      </c>
      <c r="F73" s="50">
        <v>11700.0</v>
      </c>
      <c r="G73" s="36">
        <f t="shared" si="7"/>
        <v>5250609</v>
      </c>
      <c r="H73" s="32"/>
    </row>
    <row r="74">
      <c r="A74" s="32"/>
      <c r="B74" s="48" t="s">
        <v>48</v>
      </c>
      <c r="C74" s="48" t="s">
        <v>257</v>
      </c>
      <c r="D74" s="48" t="s">
        <v>36</v>
      </c>
      <c r="E74" s="48">
        <v>1.45</v>
      </c>
      <c r="F74" s="50">
        <v>1169900.0</v>
      </c>
      <c r="G74" s="36">
        <f t="shared" si="7"/>
        <v>1696355</v>
      </c>
      <c r="H74" s="32"/>
    </row>
    <row r="75">
      <c r="A75" s="32"/>
      <c r="B75" s="32"/>
      <c r="C75" s="32"/>
      <c r="D75" s="32"/>
      <c r="E75" s="32"/>
      <c r="F75" s="32"/>
      <c r="G75" s="32"/>
      <c r="H75" s="32"/>
    </row>
    <row r="76">
      <c r="A76" s="32"/>
      <c r="B76" s="48" t="s">
        <v>268</v>
      </c>
      <c r="C76" s="32"/>
      <c r="D76" s="32"/>
      <c r="E76" s="32"/>
      <c r="F76" s="32"/>
      <c r="G76" s="32"/>
      <c r="H76" s="32"/>
    </row>
    <row r="77">
      <c r="A77" s="32"/>
      <c r="B77" s="48" t="s">
        <v>43</v>
      </c>
      <c r="C77" s="48" t="s">
        <v>266</v>
      </c>
      <c r="D77" s="48" t="s">
        <v>13</v>
      </c>
      <c r="E77" s="48">
        <v>47.48</v>
      </c>
      <c r="F77" s="50">
        <v>102600.0</v>
      </c>
      <c r="G77" s="36">
        <f t="shared" ref="G77:G79" si="8">E77*F77</f>
        <v>4871448</v>
      </c>
      <c r="H77" s="32"/>
    </row>
    <row r="78">
      <c r="A78" s="32"/>
      <c r="B78" s="48" t="s">
        <v>45</v>
      </c>
      <c r="C78" s="48" t="s">
        <v>256</v>
      </c>
      <c r="D78" s="48" t="s">
        <v>47</v>
      </c>
      <c r="E78" s="48">
        <v>525.51</v>
      </c>
      <c r="F78" s="50">
        <v>11700.0</v>
      </c>
      <c r="G78" s="36">
        <f t="shared" si="8"/>
        <v>6148467</v>
      </c>
      <c r="H78" s="32"/>
    </row>
    <row r="79">
      <c r="A79" s="32"/>
      <c r="B79" s="48" t="s">
        <v>48</v>
      </c>
      <c r="C79" s="48" t="s">
        <v>257</v>
      </c>
      <c r="D79" s="48" t="s">
        <v>36</v>
      </c>
      <c r="E79" s="48">
        <v>3.52</v>
      </c>
      <c r="F79" s="50">
        <v>1169900.0</v>
      </c>
      <c r="G79" s="36">
        <f t="shared" si="8"/>
        <v>4118048</v>
      </c>
      <c r="H79" s="32"/>
    </row>
    <row r="80">
      <c r="A80" s="32"/>
      <c r="B80" s="32"/>
      <c r="C80" s="32"/>
      <c r="D80" s="32"/>
      <c r="E80" s="32"/>
      <c r="F80" s="32"/>
      <c r="G80" s="32"/>
      <c r="H80" s="32"/>
    </row>
    <row r="81">
      <c r="A81" s="32"/>
      <c r="B81" s="48" t="s">
        <v>269</v>
      </c>
      <c r="C81" s="32"/>
      <c r="D81" s="32"/>
      <c r="E81" s="32"/>
      <c r="F81" s="32"/>
      <c r="G81" s="32"/>
      <c r="H81" s="32"/>
    </row>
    <row r="82">
      <c r="A82" s="32"/>
      <c r="B82" s="48" t="s">
        <v>43</v>
      </c>
      <c r="C82" s="48" t="s">
        <v>266</v>
      </c>
      <c r="D82" s="48" t="s">
        <v>13</v>
      </c>
      <c r="E82" s="48">
        <v>36.56</v>
      </c>
      <c r="F82" s="50">
        <v>102600.0</v>
      </c>
      <c r="G82" s="36">
        <f t="shared" ref="G82:G84" si="9">E82*F82</f>
        <v>3751056</v>
      </c>
      <c r="H82" s="32"/>
    </row>
    <row r="83">
      <c r="A83" s="32"/>
      <c r="B83" s="48" t="s">
        <v>45</v>
      </c>
      <c r="C83" s="48" t="s">
        <v>270</v>
      </c>
      <c r="D83" s="48" t="s">
        <v>13</v>
      </c>
      <c r="E83" s="48">
        <v>73.12</v>
      </c>
      <c r="F83" s="50">
        <v>77400.0</v>
      </c>
      <c r="G83" s="36">
        <f t="shared" si="9"/>
        <v>5659488</v>
      </c>
      <c r="H83" s="32"/>
    </row>
    <row r="84">
      <c r="A84" s="32"/>
      <c r="B84" s="48" t="s">
        <v>48</v>
      </c>
      <c r="C84" s="48" t="s">
        <v>257</v>
      </c>
      <c r="D84" s="48" t="s">
        <v>36</v>
      </c>
      <c r="E84" s="48">
        <v>4.39</v>
      </c>
      <c r="F84" s="50">
        <v>1169900.0</v>
      </c>
      <c r="G84" s="36">
        <f t="shared" si="9"/>
        <v>5135861</v>
      </c>
      <c r="H84" s="32"/>
    </row>
    <row r="85">
      <c r="A85" s="32"/>
      <c r="B85" s="32"/>
      <c r="C85" s="32"/>
      <c r="D85" s="32"/>
      <c r="E85" s="32"/>
      <c r="F85" s="32"/>
      <c r="G85" s="32"/>
      <c r="H85" s="32"/>
    </row>
    <row r="86">
      <c r="A86" s="32"/>
      <c r="B86" s="48" t="s">
        <v>271</v>
      </c>
      <c r="C86" s="32"/>
      <c r="D86" s="32"/>
      <c r="E86" s="32"/>
      <c r="F86" s="32"/>
      <c r="G86" s="32"/>
      <c r="H86" s="32"/>
    </row>
    <row r="87">
      <c r="A87" s="32"/>
      <c r="B87" s="48" t="s">
        <v>43</v>
      </c>
      <c r="C87" s="48" t="s">
        <v>266</v>
      </c>
      <c r="D87" s="48" t="s">
        <v>13</v>
      </c>
      <c r="E87" s="48">
        <v>23.94</v>
      </c>
      <c r="F87" s="50">
        <v>102600.0</v>
      </c>
      <c r="G87" s="36">
        <f t="shared" ref="G87:G89" si="10">E87*F87</f>
        <v>2456244</v>
      </c>
      <c r="H87" s="32"/>
    </row>
    <row r="88">
      <c r="A88" s="32"/>
      <c r="B88" s="48" t="s">
        <v>45</v>
      </c>
      <c r="C88" s="48" t="s">
        <v>256</v>
      </c>
      <c r="D88" s="48" t="s">
        <v>47</v>
      </c>
      <c r="E88" s="48">
        <v>268.14</v>
      </c>
      <c r="F88" s="50">
        <v>11700.0</v>
      </c>
      <c r="G88" s="36">
        <f t="shared" si="10"/>
        <v>3137238</v>
      </c>
      <c r="H88" s="32"/>
    </row>
    <row r="89">
      <c r="A89" s="32"/>
      <c r="B89" s="48" t="s">
        <v>48</v>
      </c>
      <c r="C89" s="48" t="s">
        <v>257</v>
      </c>
      <c r="D89" s="48" t="s">
        <v>36</v>
      </c>
      <c r="E89" s="48">
        <v>1.02</v>
      </c>
      <c r="F89" s="50">
        <v>1169900.0</v>
      </c>
      <c r="G89" s="36">
        <f t="shared" si="10"/>
        <v>1193298</v>
      </c>
      <c r="H89" s="32"/>
    </row>
    <row r="90">
      <c r="A90" s="32"/>
      <c r="B90" s="32"/>
      <c r="C90" s="32"/>
      <c r="D90" s="32"/>
      <c r="E90" s="32"/>
      <c r="F90" s="32"/>
      <c r="G90" s="32"/>
      <c r="H90" s="32"/>
    </row>
    <row r="91">
      <c r="A91" s="32"/>
      <c r="B91" s="48" t="s">
        <v>76</v>
      </c>
      <c r="C91" s="32"/>
      <c r="D91" s="32"/>
      <c r="E91" s="32"/>
      <c r="F91" s="32"/>
      <c r="G91" s="32"/>
      <c r="H91" s="32"/>
    </row>
    <row r="92">
      <c r="A92" s="32"/>
      <c r="B92" s="48" t="s">
        <v>43</v>
      </c>
      <c r="C92" s="48" t="s">
        <v>266</v>
      </c>
      <c r="D92" s="48" t="s">
        <v>13</v>
      </c>
      <c r="E92" s="48">
        <v>161.64</v>
      </c>
      <c r="F92" s="50">
        <v>102600.0</v>
      </c>
      <c r="G92" s="36">
        <f t="shared" ref="G92:G94" si="11">E92*F92</f>
        <v>16584264</v>
      </c>
      <c r="H92" s="32"/>
    </row>
    <row r="93">
      <c r="A93" s="32"/>
      <c r="B93" s="48" t="s">
        <v>45</v>
      </c>
      <c r="C93" s="48" t="s">
        <v>256</v>
      </c>
      <c r="D93" s="48" t="s">
        <v>47</v>
      </c>
      <c r="E93" s="48">
        <v>1788.64</v>
      </c>
      <c r="F93" s="50">
        <v>11700.0</v>
      </c>
      <c r="G93" s="36">
        <f t="shared" si="11"/>
        <v>20927088</v>
      </c>
      <c r="H93" s="32"/>
    </row>
    <row r="94">
      <c r="A94" s="32"/>
      <c r="B94" s="48" t="s">
        <v>48</v>
      </c>
      <c r="C94" s="48" t="s">
        <v>257</v>
      </c>
      <c r="D94" s="48" t="s">
        <v>36</v>
      </c>
      <c r="E94" s="48">
        <v>12.09</v>
      </c>
      <c r="F94" s="50">
        <v>1169900.0</v>
      </c>
      <c r="G94" s="36">
        <f t="shared" si="11"/>
        <v>14144091</v>
      </c>
      <c r="H94" s="32"/>
    </row>
    <row r="95">
      <c r="A95" s="32"/>
      <c r="B95" s="32"/>
      <c r="C95" s="32"/>
      <c r="D95" s="32"/>
      <c r="E95" s="32"/>
      <c r="F95" s="32"/>
      <c r="G95" s="32"/>
      <c r="H95" s="32"/>
    </row>
    <row r="96">
      <c r="A96" s="32"/>
      <c r="B96" s="48" t="s">
        <v>78</v>
      </c>
      <c r="C96" s="32"/>
      <c r="D96" s="32"/>
      <c r="E96" s="32"/>
      <c r="F96" s="32"/>
      <c r="G96" s="32"/>
      <c r="H96" s="32"/>
    </row>
    <row r="97">
      <c r="A97" s="32"/>
      <c r="B97" s="48" t="s">
        <v>43</v>
      </c>
      <c r="C97" s="48" t="s">
        <v>266</v>
      </c>
      <c r="D97" s="48" t="s">
        <v>13</v>
      </c>
      <c r="E97" s="48">
        <v>28.08</v>
      </c>
      <c r="F97" s="50">
        <v>108600.0</v>
      </c>
      <c r="G97" s="36">
        <f t="shared" ref="G97:G99" si="12">E97*F97</f>
        <v>3049488</v>
      </c>
      <c r="H97" s="32"/>
    </row>
    <row r="98">
      <c r="A98" s="32"/>
      <c r="B98" s="48" t="s">
        <v>45</v>
      </c>
      <c r="C98" s="48" t="s">
        <v>270</v>
      </c>
      <c r="D98" s="48" t="s">
        <v>13</v>
      </c>
      <c r="E98" s="48">
        <v>56.16</v>
      </c>
      <c r="F98" s="50">
        <v>82000.0</v>
      </c>
      <c r="G98" s="36">
        <f t="shared" si="12"/>
        <v>4605120</v>
      </c>
      <c r="H98" s="32"/>
    </row>
    <row r="99">
      <c r="A99" s="32"/>
      <c r="B99" s="48" t="s">
        <v>48</v>
      </c>
      <c r="C99" s="48" t="s">
        <v>257</v>
      </c>
      <c r="D99" s="48" t="s">
        <v>36</v>
      </c>
      <c r="E99" s="48">
        <v>3.36</v>
      </c>
      <c r="F99" s="50">
        <v>1238700.0</v>
      </c>
      <c r="G99" s="36">
        <f t="shared" si="12"/>
        <v>4162032</v>
      </c>
      <c r="H99" s="32"/>
    </row>
    <row r="100">
      <c r="A100" s="32"/>
      <c r="B100" s="32"/>
      <c r="C100" s="32"/>
      <c r="D100" s="32"/>
      <c r="E100" s="32"/>
      <c r="F100" s="32"/>
      <c r="G100" s="32"/>
      <c r="H100" s="32"/>
    </row>
    <row r="101">
      <c r="A101" s="46" t="s">
        <v>89</v>
      </c>
      <c r="B101" s="46" t="s">
        <v>272</v>
      </c>
      <c r="C101" s="47"/>
      <c r="D101" s="47"/>
      <c r="E101" s="47"/>
      <c r="F101" s="47"/>
      <c r="G101" s="47"/>
      <c r="H101" s="31">
        <f>sum(G103:G167)</f>
        <v>248360486</v>
      </c>
    </row>
    <row r="102">
      <c r="A102" s="32"/>
      <c r="B102" s="48" t="s">
        <v>91</v>
      </c>
      <c r="C102" s="32"/>
      <c r="D102" s="32"/>
      <c r="E102" s="32"/>
      <c r="F102" s="32"/>
      <c r="G102" s="32"/>
      <c r="H102" s="32"/>
    </row>
    <row r="103">
      <c r="A103" s="32"/>
      <c r="B103" s="48" t="s">
        <v>95</v>
      </c>
      <c r="C103" s="48" t="s">
        <v>273</v>
      </c>
      <c r="D103" s="48" t="s">
        <v>13</v>
      </c>
      <c r="E103" s="48">
        <v>525.88</v>
      </c>
      <c r="F103" s="50">
        <v>140800.0</v>
      </c>
      <c r="G103" s="36">
        <f t="shared" ref="G103:G108" si="13">E103*F103</f>
        <v>74043904</v>
      </c>
      <c r="H103" s="32"/>
    </row>
    <row r="104">
      <c r="A104" s="32"/>
      <c r="B104" s="48" t="s">
        <v>99</v>
      </c>
      <c r="C104" s="48" t="s">
        <v>274</v>
      </c>
      <c r="D104" s="48" t="s">
        <v>13</v>
      </c>
      <c r="E104" s="48">
        <v>774.9</v>
      </c>
      <c r="F104" s="50">
        <v>40800.0</v>
      </c>
      <c r="G104" s="36">
        <f t="shared" si="13"/>
        <v>31615920</v>
      </c>
      <c r="H104" s="32"/>
    </row>
    <row r="105">
      <c r="A105" s="32"/>
      <c r="B105" s="48" t="s">
        <v>102</v>
      </c>
      <c r="C105" s="48" t="s">
        <v>274</v>
      </c>
      <c r="D105" s="48" t="s">
        <v>13</v>
      </c>
      <c r="E105" s="48">
        <v>774.9</v>
      </c>
      <c r="F105" s="50">
        <v>21500.0</v>
      </c>
      <c r="G105" s="36">
        <f t="shared" si="13"/>
        <v>16660350</v>
      </c>
      <c r="H105" s="32"/>
    </row>
    <row r="106">
      <c r="A106" s="32"/>
      <c r="B106" s="48" t="s">
        <v>275</v>
      </c>
      <c r="C106" s="48" t="s">
        <v>276</v>
      </c>
      <c r="D106" s="48" t="s">
        <v>13</v>
      </c>
      <c r="E106" s="48">
        <v>450.6</v>
      </c>
      <c r="F106" s="50">
        <v>20400.0</v>
      </c>
      <c r="G106" s="36">
        <f t="shared" si="13"/>
        <v>9192240</v>
      </c>
      <c r="H106" s="32"/>
    </row>
    <row r="107">
      <c r="A107" s="32"/>
      <c r="B107" s="48" t="s">
        <v>277</v>
      </c>
      <c r="C107" s="48" t="s">
        <v>278</v>
      </c>
      <c r="D107" s="48" t="s">
        <v>13</v>
      </c>
      <c r="E107" s="48">
        <v>233.98</v>
      </c>
      <c r="F107" s="50">
        <v>28300.0</v>
      </c>
      <c r="G107" s="36">
        <f t="shared" si="13"/>
        <v>6621634</v>
      </c>
      <c r="H107" s="32"/>
    </row>
    <row r="108">
      <c r="A108" s="32"/>
      <c r="B108" s="48" t="s">
        <v>105</v>
      </c>
      <c r="C108" s="48" t="s">
        <v>279</v>
      </c>
      <c r="D108" s="48" t="s">
        <v>13</v>
      </c>
      <c r="E108" s="48">
        <v>90.32</v>
      </c>
      <c r="F108" s="50">
        <v>250700.0</v>
      </c>
      <c r="G108" s="36">
        <f t="shared" si="13"/>
        <v>22643224</v>
      </c>
      <c r="H108" s="32"/>
    </row>
    <row r="109">
      <c r="A109" s="32"/>
      <c r="B109" s="32"/>
      <c r="C109" s="32"/>
      <c r="D109" s="32"/>
      <c r="E109" s="51"/>
      <c r="F109" s="50"/>
      <c r="G109" s="32"/>
      <c r="H109" s="32"/>
    </row>
    <row r="110">
      <c r="A110" s="32"/>
      <c r="B110" s="48" t="s">
        <v>280</v>
      </c>
      <c r="C110" s="32"/>
      <c r="D110" s="32"/>
      <c r="E110" s="51"/>
      <c r="F110" s="50"/>
      <c r="G110" s="32"/>
      <c r="H110" s="32"/>
    </row>
    <row r="111">
      <c r="A111" s="32"/>
      <c r="B111" s="48" t="s">
        <v>281</v>
      </c>
      <c r="C111" s="32"/>
      <c r="D111" s="48" t="s">
        <v>13</v>
      </c>
      <c r="E111" s="48">
        <v>73.96</v>
      </c>
      <c r="F111" s="50">
        <v>43600.0</v>
      </c>
      <c r="G111" s="36">
        <f t="shared" ref="G111:G118" si="14">E111*F111</f>
        <v>3224656</v>
      </c>
      <c r="H111" s="32"/>
    </row>
    <row r="112">
      <c r="A112" s="32"/>
      <c r="B112" s="48" t="s">
        <v>282</v>
      </c>
      <c r="C112" s="48" t="s">
        <v>283</v>
      </c>
      <c r="D112" s="48" t="s">
        <v>13</v>
      </c>
      <c r="E112" s="48">
        <v>54.69</v>
      </c>
      <c r="F112" s="50">
        <v>228000.0</v>
      </c>
      <c r="G112" s="36">
        <f t="shared" si="14"/>
        <v>12469320</v>
      </c>
      <c r="H112" s="32"/>
    </row>
    <row r="113">
      <c r="A113" s="32"/>
      <c r="B113" s="48" t="s">
        <v>284</v>
      </c>
      <c r="C113" s="48" t="s">
        <v>285</v>
      </c>
      <c r="D113" s="48" t="s">
        <v>11</v>
      </c>
      <c r="E113" s="48">
        <v>59.4</v>
      </c>
      <c r="F113" s="50">
        <v>29300.0</v>
      </c>
      <c r="G113" s="36">
        <f t="shared" si="14"/>
        <v>1740420</v>
      </c>
      <c r="H113" s="32"/>
    </row>
    <row r="114">
      <c r="A114" s="32"/>
      <c r="B114" s="48" t="s">
        <v>111</v>
      </c>
      <c r="C114" s="48" t="s">
        <v>285</v>
      </c>
      <c r="D114" s="48" t="s">
        <v>13</v>
      </c>
      <c r="E114" s="48">
        <v>8.58</v>
      </c>
      <c r="F114" s="50">
        <v>228000.0</v>
      </c>
      <c r="G114" s="36">
        <f t="shared" si="14"/>
        <v>1956240</v>
      </c>
      <c r="H114" s="32"/>
    </row>
    <row r="115">
      <c r="A115" s="32"/>
      <c r="B115" s="48" t="s">
        <v>286</v>
      </c>
      <c r="C115" s="48" t="s">
        <v>285</v>
      </c>
      <c r="D115" s="48" t="s">
        <v>13</v>
      </c>
      <c r="E115" s="48">
        <v>2.196</v>
      </c>
      <c r="F115" s="50">
        <v>228000.0</v>
      </c>
      <c r="G115" s="36">
        <f t="shared" si="14"/>
        <v>500688</v>
      </c>
      <c r="H115" s="32"/>
    </row>
    <row r="116">
      <c r="A116" s="32"/>
      <c r="B116" s="48" t="s">
        <v>287</v>
      </c>
      <c r="C116" s="48" t="s">
        <v>288</v>
      </c>
      <c r="D116" s="48" t="s">
        <v>13</v>
      </c>
      <c r="E116" s="48">
        <v>14.47</v>
      </c>
      <c r="F116" s="50">
        <v>102000.0</v>
      </c>
      <c r="G116" s="36">
        <f t="shared" si="14"/>
        <v>1475940</v>
      </c>
      <c r="H116" s="32"/>
    </row>
    <row r="117">
      <c r="A117" s="32"/>
      <c r="B117" s="48" t="s">
        <v>289</v>
      </c>
      <c r="C117" s="32"/>
      <c r="D117" s="48" t="s">
        <v>13</v>
      </c>
      <c r="E117" s="48">
        <v>17.37</v>
      </c>
      <c r="F117" s="50">
        <v>241400.0</v>
      </c>
      <c r="G117" s="36">
        <f t="shared" si="14"/>
        <v>4193118</v>
      </c>
      <c r="H117" s="32"/>
    </row>
    <row r="118">
      <c r="A118" s="32"/>
      <c r="B118" s="48" t="s">
        <v>290</v>
      </c>
      <c r="C118" s="48" t="s">
        <v>291</v>
      </c>
      <c r="D118" s="48" t="s">
        <v>13</v>
      </c>
      <c r="E118" s="49">
        <v>6.35</v>
      </c>
      <c r="F118" s="50">
        <v>540000.0</v>
      </c>
      <c r="G118" s="36">
        <f t="shared" si="14"/>
        <v>3429000</v>
      </c>
      <c r="H118" s="32"/>
    </row>
    <row r="119">
      <c r="A119" s="32"/>
      <c r="B119" s="32"/>
      <c r="C119" s="32"/>
      <c r="D119" s="32"/>
      <c r="E119" s="51"/>
      <c r="F119" s="50"/>
      <c r="G119" s="32"/>
      <c r="H119" s="32"/>
    </row>
    <row r="120">
      <c r="A120" s="32"/>
      <c r="B120" s="48" t="s">
        <v>118</v>
      </c>
      <c r="C120" s="32"/>
      <c r="D120" s="32"/>
      <c r="E120" s="51"/>
      <c r="F120" s="50"/>
      <c r="G120" s="32"/>
      <c r="H120" s="32"/>
    </row>
    <row r="121">
      <c r="A121" s="32"/>
      <c r="B121" s="48" t="s">
        <v>108</v>
      </c>
      <c r="C121" s="32"/>
      <c r="D121" s="48" t="s">
        <v>292</v>
      </c>
      <c r="E121" s="49">
        <v>11.22</v>
      </c>
      <c r="F121" s="50">
        <v>43600.0</v>
      </c>
      <c r="G121" s="36">
        <f t="shared" ref="G121:G122" si="15">E121*F121</f>
        <v>489192</v>
      </c>
      <c r="H121" s="32"/>
    </row>
    <row r="122">
      <c r="A122" s="32"/>
      <c r="B122" s="48" t="s">
        <v>293</v>
      </c>
      <c r="C122" s="48" t="s">
        <v>294</v>
      </c>
      <c r="D122" s="48" t="s">
        <v>292</v>
      </c>
      <c r="E122" s="49">
        <v>11.22</v>
      </c>
      <c r="F122" s="50">
        <v>275600.0</v>
      </c>
      <c r="G122" s="36">
        <f t="shared" si="15"/>
        <v>3092232</v>
      </c>
      <c r="H122" s="32"/>
    </row>
    <row r="123">
      <c r="A123" s="32"/>
      <c r="B123" s="32"/>
      <c r="C123" s="32"/>
      <c r="D123" s="32"/>
      <c r="E123" s="51"/>
      <c r="F123" s="50"/>
      <c r="G123" s="32"/>
      <c r="H123" s="32"/>
    </row>
    <row r="124">
      <c r="A124" s="32"/>
      <c r="B124" s="48" t="s">
        <v>295</v>
      </c>
      <c r="C124" s="32"/>
      <c r="D124" s="32"/>
      <c r="E124" s="51"/>
      <c r="F124" s="50"/>
      <c r="G124" s="32"/>
      <c r="H124" s="32"/>
    </row>
    <row r="125">
      <c r="A125" s="32"/>
      <c r="B125" s="48" t="s">
        <v>296</v>
      </c>
      <c r="C125" s="48" t="s">
        <v>297</v>
      </c>
      <c r="D125" s="48" t="s">
        <v>13</v>
      </c>
      <c r="E125" s="49">
        <v>16.2</v>
      </c>
      <c r="F125" s="50">
        <v>124700.0</v>
      </c>
      <c r="G125" s="36">
        <f t="shared" ref="G125:G126" si="16">E125*F125</f>
        <v>2020140</v>
      </c>
      <c r="H125" s="32"/>
    </row>
    <row r="126">
      <c r="A126" s="32"/>
      <c r="B126" s="48" t="s">
        <v>298</v>
      </c>
      <c r="C126" s="48" t="s">
        <v>299</v>
      </c>
      <c r="D126" s="48" t="s">
        <v>13</v>
      </c>
      <c r="E126" s="49">
        <v>16.2</v>
      </c>
      <c r="F126" s="50">
        <v>130300.0</v>
      </c>
      <c r="G126" s="36">
        <f t="shared" si="16"/>
        <v>2110860</v>
      </c>
      <c r="H126" s="32"/>
    </row>
    <row r="127">
      <c r="A127" s="32"/>
      <c r="B127" s="32"/>
      <c r="C127" s="32"/>
      <c r="D127" s="32"/>
      <c r="E127" s="51"/>
      <c r="F127" s="50"/>
      <c r="G127" s="32"/>
      <c r="H127" s="32"/>
    </row>
    <row r="128">
      <c r="A128" s="32"/>
      <c r="B128" s="48" t="s">
        <v>122</v>
      </c>
      <c r="C128" s="32"/>
      <c r="D128" s="32"/>
      <c r="E128" s="51"/>
      <c r="F128" s="50"/>
      <c r="G128" s="32"/>
      <c r="H128" s="32"/>
    </row>
    <row r="129">
      <c r="A129" s="32"/>
      <c r="B129" s="48" t="s">
        <v>300</v>
      </c>
      <c r="C129" s="48" t="s">
        <v>301</v>
      </c>
      <c r="D129" s="48" t="s">
        <v>13</v>
      </c>
      <c r="E129" s="49">
        <v>53.04</v>
      </c>
      <c r="F129" s="50">
        <v>107700.0</v>
      </c>
      <c r="G129" s="36">
        <f t="shared" ref="G129:G135" si="17">E129*F129</f>
        <v>5712408</v>
      </c>
      <c r="H129" s="32"/>
    </row>
    <row r="130">
      <c r="A130" s="32"/>
      <c r="B130" s="48" t="s">
        <v>302</v>
      </c>
      <c r="C130" s="48" t="s">
        <v>303</v>
      </c>
      <c r="D130" s="48" t="s">
        <v>13</v>
      </c>
      <c r="E130" s="49">
        <v>6.55</v>
      </c>
      <c r="F130" s="50">
        <v>124700.0</v>
      </c>
      <c r="G130" s="36">
        <f t="shared" si="17"/>
        <v>816785</v>
      </c>
      <c r="H130" s="32"/>
    </row>
    <row r="131">
      <c r="A131" s="32"/>
      <c r="B131" s="48" t="s">
        <v>304</v>
      </c>
      <c r="C131" s="32"/>
      <c r="D131" s="48" t="s">
        <v>13</v>
      </c>
      <c r="E131" s="49">
        <v>2.85</v>
      </c>
      <c r="F131" s="50">
        <v>22700.0</v>
      </c>
      <c r="G131" s="36">
        <f t="shared" si="17"/>
        <v>64695</v>
      </c>
      <c r="H131" s="32"/>
    </row>
    <row r="132">
      <c r="A132" s="32"/>
      <c r="B132" s="48" t="s">
        <v>305</v>
      </c>
      <c r="C132" s="32"/>
      <c r="D132" s="48" t="s">
        <v>306</v>
      </c>
      <c r="E132" s="49">
        <v>3.7</v>
      </c>
      <c r="F132" s="50">
        <v>107700.0</v>
      </c>
      <c r="G132" s="36">
        <f t="shared" si="17"/>
        <v>398490</v>
      </c>
      <c r="H132" s="32"/>
    </row>
    <row r="133">
      <c r="A133" s="32"/>
      <c r="B133" s="48" t="s">
        <v>129</v>
      </c>
      <c r="C133" s="32"/>
      <c r="D133" s="48" t="s">
        <v>306</v>
      </c>
      <c r="E133" s="49">
        <v>60.55</v>
      </c>
      <c r="F133" s="50">
        <v>18700.0</v>
      </c>
      <c r="G133" s="36">
        <f t="shared" si="17"/>
        <v>1132285</v>
      </c>
      <c r="H133" s="32"/>
    </row>
    <row r="134">
      <c r="A134" s="32"/>
      <c r="B134" s="48" t="s">
        <v>307</v>
      </c>
      <c r="C134" s="32"/>
      <c r="D134" s="48" t="s">
        <v>306</v>
      </c>
      <c r="E134" s="49">
        <v>12.0</v>
      </c>
      <c r="F134" s="50">
        <v>37400.0</v>
      </c>
      <c r="G134" s="36">
        <f t="shared" si="17"/>
        <v>448800</v>
      </c>
      <c r="H134" s="32"/>
    </row>
    <row r="135">
      <c r="A135" s="32"/>
      <c r="B135" s="48" t="s">
        <v>308</v>
      </c>
      <c r="C135" s="32"/>
      <c r="D135" s="48" t="s">
        <v>13</v>
      </c>
      <c r="E135" s="49">
        <v>62.43</v>
      </c>
      <c r="F135" s="50">
        <v>21500.0</v>
      </c>
      <c r="G135" s="36">
        <f t="shared" si="17"/>
        <v>1342245</v>
      </c>
      <c r="H135" s="32"/>
    </row>
    <row r="136">
      <c r="A136" s="32"/>
      <c r="B136" s="32"/>
      <c r="C136" s="32"/>
      <c r="D136" s="32"/>
      <c r="E136" s="32"/>
      <c r="F136" s="50"/>
      <c r="G136" s="32"/>
      <c r="H136" s="32"/>
    </row>
    <row r="137">
      <c r="A137" s="32"/>
      <c r="B137" s="48" t="s">
        <v>309</v>
      </c>
      <c r="C137" s="32"/>
      <c r="D137" s="32"/>
      <c r="E137" s="51"/>
      <c r="F137" s="50"/>
      <c r="G137" s="32"/>
      <c r="H137" s="32"/>
    </row>
    <row r="138">
      <c r="A138" s="32"/>
      <c r="B138" s="48" t="s">
        <v>310</v>
      </c>
      <c r="C138" s="48" t="s">
        <v>311</v>
      </c>
      <c r="D138" s="48" t="s">
        <v>24</v>
      </c>
      <c r="E138" s="49">
        <v>1.0</v>
      </c>
      <c r="F138" s="50">
        <v>2146500.0</v>
      </c>
      <c r="G138" s="36">
        <f>E138*F138</f>
        <v>2146500</v>
      </c>
      <c r="H138" s="32"/>
    </row>
    <row r="139">
      <c r="A139" s="32"/>
      <c r="B139" s="32"/>
      <c r="C139" s="48" t="s">
        <v>312</v>
      </c>
      <c r="D139" s="32"/>
      <c r="E139" s="51"/>
      <c r="F139" s="32"/>
      <c r="G139" s="32"/>
      <c r="H139" s="32"/>
    </row>
    <row r="140">
      <c r="A140" s="32"/>
      <c r="B140" s="32"/>
      <c r="C140" s="48" t="s">
        <v>313</v>
      </c>
      <c r="D140" s="32"/>
      <c r="E140" s="51"/>
      <c r="F140" s="32"/>
      <c r="G140" s="32"/>
      <c r="H140" s="32"/>
    </row>
    <row r="141">
      <c r="A141" s="32"/>
      <c r="B141" s="48" t="s">
        <v>314</v>
      </c>
      <c r="C141" s="48" t="s">
        <v>315</v>
      </c>
      <c r="D141" s="48" t="s">
        <v>24</v>
      </c>
      <c r="E141" s="49">
        <v>1.0</v>
      </c>
      <c r="F141" s="50">
        <v>850000.0</v>
      </c>
      <c r="G141" s="36">
        <f>E141*F141</f>
        <v>850000</v>
      </c>
      <c r="H141" s="32"/>
    </row>
    <row r="142">
      <c r="A142" s="32"/>
      <c r="B142" s="32"/>
      <c r="C142" s="48" t="s">
        <v>312</v>
      </c>
      <c r="D142" s="32"/>
      <c r="E142" s="51"/>
      <c r="F142" s="32"/>
      <c r="G142" s="32"/>
      <c r="H142" s="32"/>
    </row>
    <row r="143">
      <c r="A143" s="32"/>
      <c r="B143" s="48" t="s">
        <v>316</v>
      </c>
      <c r="C143" s="48" t="s">
        <v>311</v>
      </c>
      <c r="D143" s="48" t="s">
        <v>24</v>
      </c>
      <c r="E143" s="49">
        <v>1.0</v>
      </c>
      <c r="F143" s="50">
        <v>4186500.0</v>
      </c>
      <c r="G143" s="36">
        <f>E143*F143</f>
        <v>4186500</v>
      </c>
      <c r="H143" s="32"/>
    </row>
    <row r="144">
      <c r="A144" s="32"/>
      <c r="B144" s="32"/>
      <c r="C144" s="48" t="s">
        <v>312</v>
      </c>
      <c r="D144" s="32"/>
      <c r="E144" s="32"/>
      <c r="F144" s="32"/>
      <c r="G144" s="32"/>
      <c r="H144" s="32"/>
    </row>
    <row r="145">
      <c r="A145" s="32"/>
      <c r="B145" s="32"/>
      <c r="C145" s="48" t="s">
        <v>313</v>
      </c>
      <c r="D145" s="32"/>
      <c r="E145" s="32"/>
      <c r="F145" s="32"/>
      <c r="G145" s="32"/>
      <c r="H145" s="32"/>
    </row>
    <row r="146">
      <c r="A146" s="32"/>
      <c r="B146" s="48" t="s">
        <v>317</v>
      </c>
      <c r="C146" s="48" t="s">
        <v>311</v>
      </c>
      <c r="D146" s="48" t="s">
        <v>24</v>
      </c>
      <c r="E146" s="49">
        <v>2.0</v>
      </c>
      <c r="F146" s="50">
        <v>2489100.0</v>
      </c>
      <c r="G146" s="36">
        <f>E146*F146</f>
        <v>4978200</v>
      </c>
      <c r="H146" s="32"/>
    </row>
    <row r="147">
      <c r="A147" s="32"/>
      <c r="B147" s="32"/>
      <c r="C147" s="48" t="s">
        <v>312</v>
      </c>
      <c r="D147" s="32"/>
      <c r="E147" s="32"/>
      <c r="F147" s="32"/>
      <c r="G147" s="32"/>
      <c r="H147" s="32"/>
    </row>
    <row r="148">
      <c r="A148" s="32"/>
      <c r="B148" s="48" t="s">
        <v>318</v>
      </c>
      <c r="C148" s="48" t="s">
        <v>311</v>
      </c>
      <c r="D148" s="48" t="s">
        <v>24</v>
      </c>
      <c r="E148" s="49">
        <v>1.0</v>
      </c>
      <c r="F148" s="50">
        <v>2146500.0</v>
      </c>
      <c r="G148" s="36">
        <f>E148*F148</f>
        <v>2146500</v>
      </c>
      <c r="H148" s="32"/>
    </row>
    <row r="149">
      <c r="A149" s="32"/>
      <c r="B149" s="32"/>
      <c r="C149" s="48" t="s">
        <v>312</v>
      </c>
      <c r="D149" s="32"/>
      <c r="E149" s="32"/>
      <c r="F149" s="32"/>
      <c r="G149" s="32"/>
      <c r="H149" s="32"/>
    </row>
    <row r="150">
      <c r="A150" s="32"/>
      <c r="B150" s="32"/>
      <c r="C150" s="48" t="s">
        <v>313</v>
      </c>
      <c r="D150" s="32"/>
      <c r="E150" s="32"/>
      <c r="F150" s="32"/>
      <c r="G150" s="32"/>
      <c r="H150" s="32"/>
    </row>
    <row r="151">
      <c r="A151" s="32"/>
      <c r="B151" s="48" t="s">
        <v>319</v>
      </c>
      <c r="C151" s="48" t="s">
        <v>311</v>
      </c>
      <c r="D151" s="48" t="s">
        <v>24</v>
      </c>
      <c r="E151" s="49">
        <v>2.0</v>
      </c>
      <c r="F151" s="50">
        <v>2748300.0</v>
      </c>
      <c r="G151" s="36">
        <f>E151*F151</f>
        <v>5496600</v>
      </c>
      <c r="H151" s="32"/>
    </row>
    <row r="152">
      <c r="A152" s="32"/>
      <c r="B152" s="32"/>
      <c r="C152" s="48" t="s">
        <v>312</v>
      </c>
      <c r="D152" s="32"/>
      <c r="E152" s="32"/>
      <c r="F152" s="32"/>
      <c r="G152" s="32"/>
      <c r="H152" s="32"/>
    </row>
    <row r="153">
      <c r="A153" s="32"/>
      <c r="B153" s="32"/>
      <c r="C153" s="48" t="s">
        <v>313</v>
      </c>
      <c r="D153" s="32"/>
      <c r="E153" s="32"/>
      <c r="F153" s="32"/>
      <c r="G153" s="32"/>
      <c r="H153" s="32"/>
    </row>
    <row r="154">
      <c r="A154" s="32"/>
      <c r="B154" s="48" t="s">
        <v>320</v>
      </c>
      <c r="C154" s="48" t="s">
        <v>311</v>
      </c>
      <c r="D154" s="48" t="s">
        <v>24</v>
      </c>
      <c r="E154" s="49">
        <v>1.0</v>
      </c>
      <c r="F154" s="50">
        <v>1554900.0</v>
      </c>
      <c r="G154" s="36">
        <f>E154*F154</f>
        <v>1554900</v>
      </c>
      <c r="H154" s="32"/>
    </row>
    <row r="155">
      <c r="A155" s="32"/>
      <c r="B155" s="32"/>
      <c r="C155" s="48" t="s">
        <v>312</v>
      </c>
      <c r="D155" s="32"/>
      <c r="E155" s="32"/>
      <c r="F155" s="32"/>
      <c r="G155" s="32"/>
      <c r="H155" s="32"/>
    </row>
    <row r="156">
      <c r="A156" s="32"/>
      <c r="B156" s="32"/>
      <c r="C156" s="48" t="s">
        <v>313</v>
      </c>
      <c r="D156" s="32"/>
      <c r="E156" s="32"/>
      <c r="F156" s="32"/>
      <c r="G156" s="32"/>
      <c r="H156" s="32"/>
    </row>
    <row r="157">
      <c r="A157" s="32"/>
      <c r="B157" s="48" t="s">
        <v>321</v>
      </c>
      <c r="C157" s="48" t="s">
        <v>311</v>
      </c>
      <c r="D157" s="48" t="s">
        <v>24</v>
      </c>
      <c r="E157" s="49">
        <v>1.0</v>
      </c>
      <c r="F157" s="50">
        <v>1473300.0</v>
      </c>
      <c r="G157" s="36">
        <f>E157*F157</f>
        <v>1473300</v>
      </c>
      <c r="H157" s="32"/>
    </row>
    <row r="158">
      <c r="A158" s="32"/>
      <c r="B158" s="32"/>
      <c r="C158" s="48" t="s">
        <v>322</v>
      </c>
      <c r="D158" s="32"/>
      <c r="E158" s="32"/>
      <c r="F158" s="32"/>
      <c r="G158" s="32"/>
      <c r="H158" s="32"/>
    </row>
    <row r="159">
      <c r="A159" s="32"/>
      <c r="B159" s="32"/>
      <c r="C159" s="48" t="s">
        <v>312</v>
      </c>
      <c r="D159" s="32"/>
      <c r="E159" s="32"/>
      <c r="F159" s="32"/>
      <c r="G159" s="32"/>
      <c r="H159" s="32"/>
    </row>
    <row r="160">
      <c r="A160" s="32"/>
      <c r="B160" s="32"/>
      <c r="C160" s="32"/>
      <c r="D160" s="32"/>
      <c r="E160" s="32"/>
      <c r="F160" s="32"/>
      <c r="G160" s="32"/>
      <c r="H160" s="32"/>
    </row>
    <row r="161">
      <c r="A161" s="32"/>
      <c r="B161" s="48" t="s">
        <v>323</v>
      </c>
      <c r="C161" s="32"/>
      <c r="D161" s="32"/>
      <c r="E161" s="32"/>
      <c r="F161" s="32"/>
      <c r="G161" s="32"/>
      <c r="H161" s="32"/>
    </row>
    <row r="162">
      <c r="A162" s="32"/>
      <c r="B162" s="48" t="s">
        <v>324</v>
      </c>
      <c r="C162" s="48" t="s">
        <v>325</v>
      </c>
      <c r="D162" s="48" t="s">
        <v>24</v>
      </c>
      <c r="E162" s="49">
        <v>1.0</v>
      </c>
      <c r="F162" s="50">
        <v>3966700.0</v>
      </c>
      <c r="G162" s="36">
        <f>E162*F162</f>
        <v>3966700</v>
      </c>
      <c r="H162" s="32"/>
    </row>
    <row r="163">
      <c r="A163" s="32"/>
      <c r="B163" s="32"/>
      <c r="C163" s="48" t="s">
        <v>326</v>
      </c>
      <c r="D163" s="32"/>
      <c r="E163" s="32"/>
      <c r="F163" s="32"/>
      <c r="G163" s="32"/>
      <c r="H163" s="32"/>
    </row>
    <row r="164">
      <c r="A164" s="32"/>
      <c r="B164" s="32"/>
      <c r="C164" s="48" t="s">
        <v>327</v>
      </c>
      <c r="D164" s="32"/>
      <c r="E164" s="32"/>
      <c r="F164" s="32"/>
      <c r="G164" s="32"/>
      <c r="H164" s="32"/>
    </row>
    <row r="165">
      <c r="A165" s="32"/>
      <c r="B165" s="32"/>
      <c r="C165" s="48" t="s">
        <v>328</v>
      </c>
      <c r="D165" s="32"/>
      <c r="E165" s="32"/>
      <c r="F165" s="32"/>
      <c r="G165" s="32"/>
      <c r="H165" s="32"/>
    </row>
    <row r="166">
      <c r="A166" s="32"/>
      <c r="B166" s="48" t="s">
        <v>329</v>
      </c>
      <c r="C166" s="48" t="s">
        <v>325</v>
      </c>
      <c r="D166" s="48" t="s">
        <v>24</v>
      </c>
      <c r="E166" s="49">
        <v>5.0</v>
      </c>
      <c r="F166" s="50">
        <v>2833300.0</v>
      </c>
      <c r="G166" s="36">
        <f>E166*F166</f>
        <v>14166500</v>
      </c>
      <c r="H166" s="32"/>
    </row>
    <row r="167">
      <c r="A167" s="32"/>
      <c r="B167" s="32"/>
      <c r="C167" s="48" t="s">
        <v>326</v>
      </c>
      <c r="D167" s="32"/>
      <c r="E167" s="32"/>
      <c r="F167" s="32"/>
      <c r="G167" s="32"/>
      <c r="H167" s="32"/>
    </row>
    <row r="168">
      <c r="A168" s="32"/>
      <c r="B168" s="32"/>
      <c r="C168" s="48" t="s">
        <v>327</v>
      </c>
      <c r="D168" s="32"/>
      <c r="E168" s="32"/>
      <c r="F168" s="32"/>
      <c r="G168" s="32"/>
      <c r="H168" s="32"/>
    </row>
    <row r="169">
      <c r="A169" s="32"/>
      <c r="B169" s="32"/>
      <c r="C169" s="48" t="s">
        <v>328</v>
      </c>
      <c r="D169" s="32"/>
      <c r="E169" s="32"/>
      <c r="F169" s="32"/>
      <c r="G169" s="32"/>
      <c r="H169" s="32"/>
    </row>
    <row r="170">
      <c r="A170" s="32"/>
      <c r="B170" s="32"/>
      <c r="C170" s="32"/>
      <c r="D170" s="32"/>
      <c r="E170" s="32"/>
      <c r="F170" s="32"/>
      <c r="G170" s="32"/>
      <c r="H170" s="32"/>
    </row>
    <row r="171">
      <c r="A171" s="46" t="s">
        <v>330</v>
      </c>
      <c r="B171" s="46" t="s">
        <v>331</v>
      </c>
      <c r="C171" s="47"/>
      <c r="D171" s="47"/>
      <c r="E171" s="47"/>
      <c r="F171" s="47"/>
      <c r="G171" s="47"/>
      <c r="H171" s="31">
        <f>sum(G172:G194)</f>
        <v>35614510</v>
      </c>
    </row>
    <row r="172">
      <c r="A172" s="48">
        <v>1.0</v>
      </c>
      <c r="B172" s="48" t="s">
        <v>159</v>
      </c>
      <c r="C172" s="48" t="s">
        <v>332</v>
      </c>
      <c r="D172" s="48" t="s">
        <v>306</v>
      </c>
      <c r="E172" s="49">
        <v>51.8</v>
      </c>
      <c r="F172" s="50">
        <v>34900.0</v>
      </c>
      <c r="G172" s="36">
        <f t="shared" ref="G172:G179" si="18">E172*F172</f>
        <v>1807820</v>
      </c>
      <c r="H172" s="32"/>
    </row>
    <row r="173">
      <c r="A173" s="32"/>
      <c r="B173" s="48" t="s">
        <v>333</v>
      </c>
      <c r="C173" s="48" t="s">
        <v>334</v>
      </c>
      <c r="D173" s="48" t="s">
        <v>306</v>
      </c>
      <c r="E173" s="49">
        <v>4.0</v>
      </c>
      <c r="F173" s="50">
        <v>41700.0</v>
      </c>
      <c r="G173" s="36">
        <f t="shared" si="18"/>
        <v>166800</v>
      </c>
      <c r="H173" s="32"/>
    </row>
    <row r="174">
      <c r="A174" s="32"/>
      <c r="B174" s="48" t="s">
        <v>166</v>
      </c>
      <c r="C174" s="48" t="s">
        <v>335</v>
      </c>
      <c r="D174" s="48" t="s">
        <v>306</v>
      </c>
      <c r="E174" s="49">
        <v>18.0</v>
      </c>
      <c r="F174" s="50">
        <v>71800.0</v>
      </c>
      <c r="G174" s="36">
        <f t="shared" si="18"/>
        <v>1292400</v>
      </c>
      <c r="H174" s="32"/>
    </row>
    <row r="175">
      <c r="A175" s="32"/>
      <c r="B175" s="48" t="s">
        <v>162</v>
      </c>
      <c r="C175" s="48" t="s">
        <v>336</v>
      </c>
      <c r="D175" s="48" t="s">
        <v>306</v>
      </c>
      <c r="E175" s="49">
        <v>16.5</v>
      </c>
      <c r="F175" s="50">
        <v>171100.0</v>
      </c>
      <c r="G175" s="36">
        <f t="shared" si="18"/>
        <v>2823150</v>
      </c>
      <c r="H175" s="32"/>
    </row>
    <row r="176">
      <c r="A176" s="32"/>
      <c r="B176" s="48" t="s">
        <v>168</v>
      </c>
      <c r="C176" s="48" t="s">
        <v>336</v>
      </c>
      <c r="D176" s="48" t="s">
        <v>306</v>
      </c>
      <c r="E176" s="49">
        <v>50.4</v>
      </c>
      <c r="F176" s="50">
        <v>171100.0</v>
      </c>
      <c r="G176" s="36">
        <f t="shared" si="18"/>
        <v>8623440</v>
      </c>
      <c r="H176" s="32"/>
    </row>
    <row r="177">
      <c r="A177" s="32"/>
      <c r="B177" s="48" t="s">
        <v>171</v>
      </c>
      <c r="C177" s="48" t="s">
        <v>337</v>
      </c>
      <c r="D177" s="48" t="s">
        <v>24</v>
      </c>
      <c r="E177" s="49">
        <v>1.0</v>
      </c>
      <c r="F177" s="50">
        <v>100000.0</v>
      </c>
      <c r="G177" s="36">
        <f t="shared" si="18"/>
        <v>100000</v>
      </c>
      <c r="H177" s="32"/>
    </row>
    <row r="178">
      <c r="A178" s="32"/>
      <c r="B178" s="48" t="s">
        <v>338</v>
      </c>
      <c r="C178" s="48" t="s">
        <v>337</v>
      </c>
      <c r="D178" s="48" t="s">
        <v>24</v>
      </c>
      <c r="E178" s="49">
        <v>1.0</v>
      </c>
      <c r="F178" s="50">
        <v>100000.0</v>
      </c>
      <c r="G178" s="36">
        <f t="shared" si="18"/>
        <v>100000</v>
      </c>
      <c r="H178" s="32"/>
    </row>
    <row r="179">
      <c r="A179" s="32"/>
      <c r="B179" s="48" t="s">
        <v>174</v>
      </c>
      <c r="C179" s="48" t="s">
        <v>339</v>
      </c>
      <c r="D179" s="48" t="s">
        <v>24</v>
      </c>
      <c r="E179" s="49">
        <v>5.0</v>
      </c>
      <c r="F179" s="50">
        <v>100000.0</v>
      </c>
      <c r="G179" s="36">
        <f t="shared" si="18"/>
        <v>500000</v>
      </c>
      <c r="H179" s="32"/>
    </row>
    <row r="180">
      <c r="A180" s="32"/>
      <c r="B180" s="32"/>
      <c r="C180" s="32"/>
      <c r="D180" s="32"/>
      <c r="E180" s="49"/>
      <c r="F180" s="50"/>
      <c r="G180" s="32"/>
      <c r="H180" s="32"/>
    </row>
    <row r="181">
      <c r="A181" s="48">
        <v>2.0</v>
      </c>
      <c r="B181" s="48" t="s">
        <v>340</v>
      </c>
      <c r="C181" s="32"/>
      <c r="D181" s="32"/>
      <c r="E181" s="49"/>
      <c r="F181" s="50"/>
      <c r="G181" s="32"/>
      <c r="H181" s="32"/>
    </row>
    <row r="182">
      <c r="A182" s="32"/>
      <c r="B182" s="48" t="s">
        <v>177</v>
      </c>
      <c r="C182" s="48" t="s">
        <v>341</v>
      </c>
      <c r="D182" s="48" t="s">
        <v>24</v>
      </c>
      <c r="E182" s="49">
        <v>2.0</v>
      </c>
      <c r="F182" s="50">
        <v>1908900.0</v>
      </c>
      <c r="G182" s="36">
        <f t="shared" ref="G182:G189" si="19">E182*F182</f>
        <v>3817800</v>
      </c>
      <c r="H182" s="32"/>
    </row>
    <row r="183">
      <c r="A183" s="32"/>
      <c r="B183" s="48" t="s">
        <v>182</v>
      </c>
      <c r="C183" s="48" t="s">
        <v>342</v>
      </c>
      <c r="D183" s="48" t="s">
        <v>24</v>
      </c>
      <c r="E183" s="49">
        <v>2.0</v>
      </c>
      <c r="F183" s="50">
        <v>1376900.0</v>
      </c>
      <c r="G183" s="36">
        <f t="shared" si="19"/>
        <v>2753800</v>
      </c>
      <c r="H183" s="32"/>
    </row>
    <row r="184">
      <c r="A184" s="32"/>
      <c r="B184" s="48" t="s">
        <v>343</v>
      </c>
      <c r="C184" s="48" t="s">
        <v>342</v>
      </c>
      <c r="D184" s="48" t="s">
        <v>24</v>
      </c>
      <c r="E184" s="49">
        <v>1.0</v>
      </c>
      <c r="F184" s="50">
        <v>1025500.0</v>
      </c>
      <c r="G184" s="36">
        <f t="shared" si="19"/>
        <v>1025500</v>
      </c>
      <c r="H184" s="32"/>
    </row>
    <row r="185">
      <c r="A185" s="32"/>
      <c r="B185" s="48" t="s">
        <v>344</v>
      </c>
      <c r="C185" s="48" t="s">
        <v>345</v>
      </c>
      <c r="D185" s="48" t="s">
        <v>24</v>
      </c>
      <c r="E185" s="49">
        <v>1.0</v>
      </c>
      <c r="F185" s="50">
        <v>1376900.0</v>
      </c>
      <c r="G185" s="36">
        <f t="shared" si="19"/>
        <v>1376900</v>
      </c>
      <c r="H185" s="32"/>
    </row>
    <row r="186">
      <c r="A186" s="32"/>
      <c r="B186" s="48" t="s">
        <v>346</v>
      </c>
      <c r="C186" s="48" t="s">
        <v>342</v>
      </c>
      <c r="D186" s="48" t="s">
        <v>24</v>
      </c>
      <c r="E186" s="49">
        <v>3.0</v>
      </c>
      <c r="F186" s="50">
        <v>281100.0</v>
      </c>
      <c r="G186" s="36">
        <f t="shared" si="19"/>
        <v>843300</v>
      </c>
      <c r="H186" s="32"/>
    </row>
    <row r="187">
      <c r="A187" s="32"/>
      <c r="B187" s="48" t="s">
        <v>347</v>
      </c>
      <c r="C187" s="48" t="s">
        <v>342</v>
      </c>
      <c r="D187" s="48" t="s">
        <v>24</v>
      </c>
      <c r="E187" s="49">
        <v>2.0</v>
      </c>
      <c r="F187" s="50">
        <v>196800.0</v>
      </c>
      <c r="G187" s="36">
        <f t="shared" si="19"/>
        <v>393600</v>
      </c>
      <c r="H187" s="32"/>
    </row>
    <row r="188">
      <c r="A188" s="32"/>
      <c r="B188" s="48" t="s">
        <v>348</v>
      </c>
      <c r="C188" s="48" t="s">
        <v>349</v>
      </c>
      <c r="D188" s="48" t="s">
        <v>24</v>
      </c>
      <c r="E188" s="49">
        <v>1.0</v>
      </c>
      <c r="F188" s="50">
        <v>196800.0</v>
      </c>
      <c r="G188" s="36">
        <f t="shared" si="19"/>
        <v>196800</v>
      </c>
      <c r="H188" s="32"/>
    </row>
    <row r="189">
      <c r="A189" s="32"/>
      <c r="B189" s="48" t="s">
        <v>350</v>
      </c>
      <c r="C189" s="48" t="s">
        <v>351</v>
      </c>
      <c r="D189" s="48" t="s">
        <v>24</v>
      </c>
      <c r="E189" s="49">
        <v>1.0</v>
      </c>
      <c r="F189" s="50">
        <v>126500.0</v>
      </c>
      <c r="G189" s="36">
        <f t="shared" si="19"/>
        <v>126500</v>
      </c>
      <c r="H189" s="32"/>
    </row>
    <row r="190">
      <c r="A190" s="32"/>
      <c r="B190" s="32"/>
      <c r="C190" s="32"/>
      <c r="D190" s="32"/>
      <c r="E190" s="32"/>
      <c r="F190" s="32"/>
      <c r="G190" s="32"/>
      <c r="H190" s="32"/>
    </row>
    <row r="191">
      <c r="A191" s="48">
        <v>3.0</v>
      </c>
      <c r="B191" s="48" t="s">
        <v>188</v>
      </c>
      <c r="C191" s="32"/>
      <c r="D191" s="32"/>
      <c r="E191" s="32"/>
      <c r="F191" s="32"/>
      <c r="G191" s="32"/>
      <c r="H191" s="32"/>
    </row>
    <row r="192">
      <c r="A192" s="32"/>
      <c r="B192" s="48" t="s">
        <v>189</v>
      </c>
      <c r="C192" s="48" t="s">
        <v>352</v>
      </c>
      <c r="D192" s="48" t="s">
        <v>24</v>
      </c>
      <c r="E192" s="49">
        <v>1.0</v>
      </c>
      <c r="F192" s="50">
        <v>3500000.0</v>
      </c>
      <c r="G192" s="36">
        <f t="shared" ref="G192:G194" si="20">E192*F192</f>
        <v>3500000</v>
      </c>
      <c r="H192" s="32"/>
    </row>
    <row r="193">
      <c r="A193" s="32"/>
      <c r="B193" s="48" t="s">
        <v>353</v>
      </c>
      <c r="C193" s="48" t="s">
        <v>354</v>
      </c>
      <c r="D193" s="48" t="s">
        <v>24</v>
      </c>
      <c r="E193" s="49">
        <v>1.0</v>
      </c>
      <c r="F193" s="50">
        <v>2111100.0</v>
      </c>
      <c r="G193" s="36">
        <f t="shared" si="20"/>
        <v>2111100</v>
      </c>
      <c r="H193" s="32"/>
    </row>
    <row r="194">
      <c r="A194" s="32"/>
      <c r="B194" s="48" t="s">
        <v>191</v>
      </c>
      <c r="C194" s="48" t="s">
        <v>355</v>
      </c>
      <c r="D194" s="48" t="s">
        <v>24</v>
      </c>
      <c r="E194" s="49">
        <v>1.0</v>
      </c>
      <c r="F194" s="50">
        <v>4055600.0</v>
      </c>
      <c r="G194" s="36">
        <f t="shared" si="20"/>
        <v>4055600</v>
      </c>
      <c r="H194" s="32"/>
    </row>
    <row r="195">
      <c r="A195" s="32"/>
      <c r="B195" s="32"/>
      <c r="C195" s="32"/>
      <c r="D195" s="32"/>
      <c r="E195" s="49"/>
      <c r="F195" s="50"/>
      <c r="G195" s="32"/>
      <c r="H195" s="32"/>
    </row>
    <row r="196">
      <c r="A196" s="46" t="s">
        <v>356</v>
      </c>
      <c r="B196" s="46" t="s">
        <v>357</v>
      </c>
      <c r="C196" s="47"/>
      <c r="D196" s="47"/>
      <c r="E196" s="52"/>
      <c r="F196" s="53"/>
      <c r="G196" s="47"/>
      <c r="H196" s="31">
        <f>SUM(G198:G221)</f>
        <v>15815400</v>
      </c>
    </row>
    <row r="197">
      <c r="A197" s="48">
        <v>1.0</v>
      </c>
      <c r="B197" s="48" t="s">
        <v>159</v>
      </c>
      <c r="C197" s="32"/>
      <c r="D197" s="32"/>
      <c r="E197" s="49"/>
      <c r="F197" s="50"/>
      <c r="G197" s="32"/>
      <c r="H197" s="32"/>
    </row>
    <row r="198">
      <c r="A198" s="32"/>
      <c r="B198" s="48" t="s">
        <v>196</v>
      </c>
      <c r="C198" s="48" t="s">
        <v>358</v>
      </c>
      <c r="D198" s="48" t="s">
        <v>32</v>
      </c>
      <c r="E198" s="49">
        <v>15.0</v>
      </c>
      <c r="F198" s="50">
        <v>206700.0</v>
      </c>
      <c r="G198" s="36">
        <f t="shared" ref="G198:G203" si="21">E198*F198</f>
        <v>3100500</v>
      </c>
      <c r="H198" s="32"/>
    </row>
    <row r="199">
      <c r="A199" s="32"/>
      <c r="B199" s="48" t="s">
        <v>199</v>
      </c>
      <c r="C199" s="48" t="s">
        <v>359</v>
      </c>
      <c r="D199" s="48" t="s">
        <v>32</v>
      </c>
      <c r="E199" s="49">
        <v>13.0</v>
      </c>
      <c r="F199" s="50">
        <v>240000.0</v>
      </c>
      <c r="G199" s="36">
        <f t="shared" si="21"/>
        <v>3120000</v>
      </c>
      <c r="H199" s="32"/>
    </row>
    <row r="200">
      <c r="A200" s="32"/>
      <c r="B200" s="48" t="s">
        <v>360</v>
      </c>
      <c r="C200" s="48" t="s">
        <v>359</v>
      </c>
      <c r="D200" s="48" t="s">
        <v>32</v>
      </c>
      <c r="E200" s="49">
        <v>5.0</v>
      </c>
      <c r="F200" s="50">
        <v>240000.0</v>
      </c>
      <c r="G200" s="36">
        <f t="shared" si="21"/>
        <v>1200000</v>
      </c>
      <c r="H200" s="32"/>
    </row>
    <row r="201">
      <c r="A201" s="32"/>
      <c r="B201" s="48" t="s">
        <v>361</v>
      </c>
      <c r="C201" s="48" t="s">
        <v>358</v>
      </c>
      <c r="D201" s="48" t="s">
        <v>32</v>
      </c>
      <c r="E201" s="49">
        <v>2.0</v>
      </c>
      <c r="F201" s="50">
        <v>206700.0</v>
      </c>
      <c r="G201" s="36">
        <f t="shared" si="21"/>
        <v>413400</v>
      </c>
      <c r="H201" s="32"/>
    </row>
    <row r="202">
      <c r="A202" s="32"/>
      <c r="B202" s="48" t="s">
        <v>362</v>
      </c>
      <c r="C202" s="48" t="s">
        <v>363</v>
      </c>
      <c r="D202" s="48" t="s">
        <v>32</v>
      </c>
      <c r="E202" s="49">
        <v>2.0</v>
      </c>
      <c r="F202" s="50">
        <v>240000.0</v>
      </c>
      <c r="G202" s="36">
        <f t="shared" si="21"/>
        <v>480000</v>
      </c>
      <c r="H202" s="32"/>
    </row>
    <row r="203">
      <c r="A203" s="32"/>
      <c r="B203" s="48" t="s">
        <v>364</v>
      </c>
      <c r="C203" s="32"/>
      <c r="D203" s="48" t="s">
        <v>32</v>
      </c>
      <c r="E203" s="49">
        <v>2.0</v>
      </c>
      <c r="F203" s="50">
        <v>240000.0</v>
      </c>
      <c r="G203" s="36">
        <f t="shared" si="21"/>
        <v>480000</v>
      </c>
      <c r="H203" s="32"/>
    </row>
    <row r="204">
      <c r="A204" s="32"/>
      <c r="B204" s="32"/>
      <c r="C204" s="32"/>
      <c r="D204" s="32"/>
      <c r="E204" s="32"/>
      <c r="F204" s="50"/>
      <c r="G204" s="32"/>
      <c r="H204" s="32"/>
    </row>
    <row r="205">
      <c r="A205" s="48">
        <v>2.0</v>
      </c>
      <c r="B205" s="48" t="s">
        <v>201</v>
      </c>
      <c r="C205" s="32"/>
      <c r="D205" s="32"/>
      <c r="E205" s="32"/>
      <c r="F205" s="32"/>
      <c r="G205" s="32"/>
      <c r="H205" s="32"/>
    </row>
    <row r="206">
      <c r="A206" s="32"/>
      <c r="B206" s="48" t="s">
        <v>365</v>
      </c>
      <c r="C206" s="48" t="s">
        <v>366</v>
      </c>
      <c r="D206" s="48" t="s">
        <v>24</v>
      </c>
      <c r="E206" s="49">
        <v>12.0</v>
      </c>
      <c r="F206" s="50">
        <v>128900.0</v>
      </c>
      <c r="G206" s="36">
        <f t="shared" ref="G206:G215" si="22">E206*F206</f>
        <v>1546800</v>
      </c>
      <c r="H206" s="32"/>
    </row>
    <row r="207">
      <c r="A207" s="32"/>
      <c r="B207" s="48" t="s">
        <v>367</v>
      </c>
      <c r="C207" s="32"/>
      <c r="D207" s="48" t="s">
        <v>24</v>
      </c>
      <c r="E207" s="49">
        <v>3.0</v>
      </c>
      <c r="F207" s="50">
        <v>128900.0</v>
      </c>
      <c r="G207" s="36">
        <f t="shared" si="22"/>
        <v>386700</v>
      </c>
      <c r="H207" s="32"/>
    </row>
    <row r="208">
      <c r="A208" s="32"/>
      <c r="B208" s="48" t="s">
        <v>204</v>
      </c>
      <c r="C208" s="48" t="s">
        <v>368</v>
      </c>
      <c r="D208" s="48" t="s">
        <v>24</v>
      </c>
      <c r="E208" s="49">
        <v>3.0</v>
      </c>
      <c r="F208" s="50">
        <v>33300.0</v>
      </c>
      <c r="G208" s="36">
        <f t="shared" si="22"/>
        <v>99900</v>
      </c>
      <c r="H208" s="32"/>
    </row>
    <row r="209">
      <c r="A209" s="32"/>
      <c r="B209" s="48" t="s">
        <v>369</v>
      </c>
      <c r="C209" s="48" t="s">
        <v>368</v>
      </c>
      <c r="D209" s="48" t="s">
        <v>24</v>
      </c>
      <c r="E209" s="49">
        <v>4.0</v>
      </c>
      <c r="F209" s="50">
        <v>44400.0</v>
      </c>
      <c r="G209" s="36">
        <f t="shared" si="22"/>
        <v>177600</v>
      </c>
      <c r="H209" s="32"/>
    </row>
    <row r="210">
      <c r="A210" s="32"/>
      <c r="B210" s="48" t="s">
        <v>370</v>
      </c>
      <c r="C210" s="48" t="s">
        <v>368</v>
      </c>
      <c r="D210" s="48" t="s">
        <v>24</v>
      </c>
      <c r="E210" s="49">
        <v>2.0</v>
      </c>
      <c r="F210" s="50">
        <v>61100.0</v>
      </c>
      <c r="G210" s="36">
        <f t="shared" si="22"/>
        <v>122200</v>
      </c>
      <c r="H210" s="32"/>
    </row>
    <row r="211">
      <c r="A211" s="32"/>
      <c r="B211" s="48" t="s">
        <v>207</v>
      </c>
      <c r="C211" s="48" t="s">
        <v>368</v>
      </c>
      <c r="D211" s="48" t="s">
        <v>24</v>
      </c>
      <c r="E211" s="49">
        <v>13.0</v>
      </c>
      <c r="F211" s="50">
        <v>50000.0</v>
      </c>
      <c r="G211" s="36">
        <f t="shared" si="22"/>
        <v>650000</v>
      </c>
      <c r="H211" s="32"/>
    </row>
    <row r="212">
      <c r="A212" s="32"/>
      <c r="B212" s="48" t="s">
        <v>371</v>
      </c>
      <c r="C212" s="48" t="s">
        <v>368</v>
      </c>
      <c r="D212" s="48" t="s">
        <v>24</v>
      </c>
      <c r="E212" s="49">
        <v>5.0</v>
      </c>
      <c r="F212" s="50">
        <v>100000.0</v>
      </c>
      <c r="G212" s="36">
        <f t="shared" si="22"/>
        <v>500000</v>
      </c>
      <c r="H212" s="32"/>
    </row>
    <row r="213">
      <c r="A213" s="32"/>
      <c r="B213" s="48" t="s">
        <v>372</v>
      </c>
      <c r="C213" s="48" t="s">
        <v>368</v>
      </c>
      <c r="D213" s="48" t="s">
        <v>24</v>
      </c>
      <c r="E213" s="49">
        <v>2.0</v>
      </c>
      <c r="F213" s="50">
        <v>88900.0</v>
      </c>
      <c r="G213" s="36">
        <f t="shared" si="22"/>
        <v>177800</v>
      </c>
      <c r="H213" s="32"/>
    </row>
    <row r="214">
      <c r="A214" s="32"/>
      <c r="B214" s="48" t="s">
        <v>373</v>
      </c>
      <c r="C214" s="48" t="s">
        <v>368</v>
      </c>
      <c r="D214" s="48" t="s">
        <v>24</v>
      </c>
      <c r="E214" s="49">
        <v>2.0</v>
      </c>
      <c r="F214" s="50">
        <v>88900.0</v>
      </c>
      <c r="G214" s="36">
        <f t="shared" si="22"/>
        <v>177800</v>
      </c>
      <c r="H214" s="32"/>
    </row>
    <row r="215">
      <c r="A215" s="32"/>
      <c r="B215" s="48" t="s">
        <v>374</v>
      </c>
      <c r="C215" s="32"/>
      <c r="D215" s="48" t="s">
        <v>24</v>
      </c>
      <c r="E215" s="49">
        <v>2.0</v>
      </c>
      <c r="F215" s="50">
        <v>294400.0</v>
      </c>
      <c r="G215" s="36">
        <f t="shared" si="22"/>
        <v>588800</v>
      </c>
      <c r="H215" s="32"/>
    </row>
    <row r="216">
      <c r="A216" s="32"/>
      <c r="B216" s="32"/>
      <c r="C216" s="32"/>
      <c r="D216" s="32"/>
      <c r="E216" s="32"/>
      <c r="F216" s="32"/>
      <c r="G216" s="32"/>
      <c r="H216" s="32"/>
    </row>
    <row r="217">
      <c r="A217" s="48">
        <v>3.0</v>
      </c>
      <c r="B217" s="48" t="s">
        <v>375</v>
      </c>
      <c r="C217" s="32"/>
      <c r="D217" s="32"/>
      <c r="E217" s="32"/>
      <c r="F217" s="32"/>
      <c r="G217" s="32"/>
      <c r="H217" s="32"/>
    </row>
    <row r="218">
      <c r="A218" s="32"/>
      <c r="B218" s="48" t="s">
        <v>376</v>
      </c>
      <c r="C218" s="48" t="s">
        <v>377</v>
      </c>
      <c r="D218" s="48" t="s">
        <v>378</v>
      </c>
      <c r="E218" s="49">
        <v>1.0</v>
      </c>
      <c r="F218" s="50">
        <v>316700.0</v>
      </c>
      <c r="G218" s="36">
        <f t="shared" ref="G218:G221" si="23">E218*F218</f>
        <v>316700</v>
      </c>
      <c r="H218" s="32"/>
    </row>
    <row r="219">
      <c r="A219" s="32"/>
      <c r="B219" s="48" t="s">
        <v>379</v>
      </c>
      <c r="C219" s="48" t="s">
        <v>212</v>
      </c>
      <c r="D219" s="48" t="s">
        <v>378</v>
      </c>
      <c r="E219" s="49">
        <v>1.0</v>
      </c>
      <c r="F219" s="50">
        <v>280000.0</v>
      </c>
      <c r="G219" s="36">
        <f t="shared" si="23"/>
        <v>280000</v>
      </c>
      <c r="H219" s="32"/>
    </row>
    <row r="220">
      <c r="A220" s="32"/>
      <c r="B220" s="48" t="s">
        <v>213</v>
      </c>
      <c r="C220" s="48" t="s">
        <v>214</v>
      </c>
      <c r="D220" s="48" t="s">
        <v>215</v>
      </c>
      <c r="E220" s="49">
        <v>16.0</v>
      </c>
      <c r="F220" s="50">
        <v>92200.0</v>
      </c>
      <c r="G220" s="36">
        <f t="shared" si="23"/>
        <v>1475200</v>
      </c>
      <c r="H220" s="32"/>
    </row>
    <row r="221">
      <c r="A221" s="32"/>
      <c r="B221" s="48" t="s">
        <v>380</v>
      </c>
      <c r="C221" s="48" t="s">
        <v>381</v>
      </c>
      <c r="D221" s="48" t="s">
        <v>306</v>
      </c>
      <c r="E221" s="49">
        <v>5.0</v>
      </c>
      <c r="F221" s="50">
        <v>104400.0</v>
      </c>
      <c r="G221" s="36">
        <f t="shared" si="23"/>
        <v>522000</v>
      </c>
      <c r="H221" s="32"/>
    </row>
    <row r="222">
      <c r="A222" s="32"/>
      <c r="B222" s="32"/>
      <c r="C222" s="32"/>
      <c r="D222" s="32"/>
      <c r="E222" s="32"/>
      <c r="F222" s="32"/>
      <c r="G222" s="32"/>
      <c r="H222" s="32"/>
    </row>
    <row r="223">
      <c r="A223" s="47"/>
      <c r="B223" s="54" t="s">
        <v>382</v>
      </c>
      <c r="C223" s="43"/>
      <c r="D223" s="43"/>
      <c r="E223" s="43"/>
      <c r="F223" s="43"/>
      <c r="G223" s="44"/>
      <c r="H223" s="31">
        <f>H2+H15+H26+H70+H101+H171+H196</f>
        <v>504248459.2</v>
      </c>
    </row>
    <row r="224">
      <c r="A224" s="47"/>
      <c r="B224" s="54" t="s">
        <v>219</v>
      </c>
      <c r="C224" s="43"/>
      <c r="D224" s="43"/>
      <c r="E224" s="43"/>
      <c r="F224" s="43"/>
      <c r="G224" s="44"/>
      <c r="H224" s="31">
        <f>H223*0.1</f>
        <v>50424845.92</v>
      </c>
    </row>
    <row r="225">
      <c r="A225" s="47"/>
      <c r="B225" s="54" t="s">
        <v>220</v>
      </c>
      <c r="C225" s="43"/>
      <c r="D225" s="43"/>
      <c r="E225" s="43"/>
      <c r="F225" s="43"/>
      <c r="G225" s="44"/>
      <c r="H225" s="31">
        <f>H223+H224</f>
        <v>554673305.1</v>
      </c>
    </row>
  </sheetData>
  <mergeCells count="3">
    <mergeCell ref="B223:G223"/>
    <mergeCell ref="B224:G224"/>
    <mergeCell ref="B225:G225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